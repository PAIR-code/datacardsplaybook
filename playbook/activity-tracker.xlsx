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bal Tracker" sheetId="1" r:id="rId3"/>
    <sheet state="visible" name="Agents Brainstorm" sheetId="2" r:id="rId4"/>
    <sheet state="visible" name="Lens Brainstorm" sheetId="3" r:id="rId5"/>
    <sheet state="visible" name="Scopes Brainstorm" sheetId="4" r:id="rId6"/>
    <sheet state="visible" name="Input Dimensions Worksheet" sheetId="5" r:id="rId7"/>
    <sheet state="visible" name="Input Dimensions Ranking (for E" sheetId="6" r:id="rId8"/>
    <sheet state="visible" name="Output Fluency Calculators" sheetId="7" r:id="rId9"/>
    <sheet state="visible" name="Output OFTEn Calculators" sheetId="8" r:id="rId10"/>
    <sheet state="hidden" name="Deprecated Example DMC Tracker " sheetId="9" r:id="rId11"/>
    <sheet state="hidden" name="Deprecated Test bed" sheetId="10" r:id="rId12"/>
    <sheet state="hidden" name="Deprecated Test bed Visualizati" sheetId="11" r:id="rId13"/>
    <sheet state="hidden" name="Example CUJ Tracker (Google Cla" sheetId="12" r:id="rId14"/>
    <sheet state="hidden" name=" Example Exec Summary" sheetId="13" r:id="rId15"/>
  </sheets>
  <definedNames/>
  <calcPr/>
</workbook>
</file>

<file path=xl/comments1.xml><?xml version="1.0" encoding="utf-8"?>
<comments xmlns:r="http://schemas.openxmlformats.org/officeDocument/2006/relationships" xmlns="http://schemas.openxmlformats.org/spreadsheetml/2006/main">
  <authors>
    <author/>
  </authors>
  <commentList>
    <comment authorId="0" ref="J7">
      <text>
        <t xml:space="preserve">Get feedback from Becky and Andrew on how they see this!</t>
      </text>
    </comment>
  </commentList>
</comments>
</file>

<file path=xl/sharedStrings.xml><?xml version="1.0" encoding="utf-8"?>
<sst xmlns="http://schemas.openxmlformats.org/spreadsheetml/2006/main" count="1006" uniqueCount="389">
  <si>
    <t>THE DATA CARDS PLAYBOOK - ACTIVITY TRACKER • MMM YYYY • OSS</t>
  </si>
  <si>
    <r>
      <rPr>
        <rFont val="Inter, sans-serif"/>
        <color rgb="FF3C4043"/>
      </rPr>
      <t>The</t>
    </r>
    <r>
      <rPr>
        <rFont val="Inter, sans-serif"/>
        <color rgb="FF3C4043"/>
      </rPr>
      <t xml:space="preserve"> Data Cards Playbook ↗</t>
    </r>
    <r>
      <rPr>
        <rFont val="Inter, sans-serif"/>
        <color rgb="FF3C4043"/>
      </rPr>
      <t xml:space="preserve"> by Google Research is licensed under a Creative Commons Attribution-ShareAlike 4.0 International License. You are free to share and adapt this work under the </t>
    </r>
    <r>
      <rPr>
        <rFont val="Inter, sans-serif"/>
        <color rgb="FF3C4043"/>
      </rPr>
      <t>appropriate license terms ↗</t>
    </r>
    <r>
      <rPr>
        <rFont val="Inter, sans-serif"/>
        <color rgb="FF3C4043"/>
      </rPr>
      <t>.</t>
    </r>
  </si>
  <si>
    <t>Global Tracker</t>
  </si>
  <si>
    <t>Module 01 Ask</t>
  </si>
  <si>
    <t>Module 02 Inspect</t>
  </si>
  <si>
    <t>Track agents for are relevant or important for the agent information journey in the corresponding columns. Refer to this list when when you seek feedback or empirically validate your Data Card.</t>
  </si>
  <si>
    <t>Enter the lenses, themes, or sections in your Data Card or template. These should be easily converted into a short title for a section in your Data Card.</t>
  </si>
  <si>
    <t>Enter the specific prompts or questions in your Data Card or template. These are the specific information that your Data Card will convey about your Dataset.</t>
  </si>
  <si>
    <r>
      <rPr>
        <rFont val="Inter"/>
        <color rgb="FF3C4043"/>
        <sz val="12.0"/>
      </rPr>
      <t xml:space="preserve">Use the dropdown to assign each question a scope type. </t>
    </r>
    <r>
      <rPr>
        <rFont val="Inter"/>
        <b/>
        <color rgb="FF3C4043"/>
        <sz val="12.0"/>
      </rPr>
      <t>Use this to track the level of detail required in the answer.</t>
    </r>
  </si>
  <si>
    <r>
      <rPr>
        <rFont val="Inter"/>
        <color rgb="FF3C4043"/>
        <sz val="12.0"/>
      </rPr>
      <t xml:space="preserve">Use the dropdown to assign each question an OFTEn category by intent: What is the intended category that this question should elicit a response for? </t>
    </r>
    <r>
      <rPr>
        <rFont val="Inter"/>
        <b/>
        <color rgb="FF3C4043"/>
        <sz val="12.0"/>
      </rPr>
      <t>This populates the OFTEn Calculator.</t>
    </r>
  </si>
  <si>
    <t>Use the dropdown to indicate which will be the most trustworthy source on the answer.</t>
  </si>
  <si>
    <t>Use this RACI matrix to distribute workload and enable individuals in your organization or group to produce the ideal set of answers for your Data Card.</t>
  </si>
  <si>
    <t>Final Perspective</t>
  </si>
  <si>
    <t>Final Lenses</t>
  </si>
  <si>
    <t>Final Scopes</t>
  </si>
  <si>
    <t>Calculators</t>
  </si>
  <si>
    <t>Future Planning</t>
  </si>
  <si>
    <r>
      <rPr>
        <rFont val="Inter"/>
        <color rgb="FFFF5FBB"/>
        <sz val="16.0"/>
      </rPr>
      <t xml:space="preserve">As a(n) </t>
    </r>
    <r>
      <rPr>
        <rFont val="Inter"/>
        <b/>
        <color rgb="FFFF5FBB"/>
        <sz val="16.0"/>
      </rPr>
      <t>[agent / perspective]...</t>
    </r>
  </si>
  <si>
    <r>
      <rPr>
        <rFont val="Inter"/>
        <color rgb="FF99EA0C"/>
        <sz val="16.0"/>
      </rPr>
      <t xml:space="preserve">I want to know </t>
    </r>
    <r>
      <rPr>
        <rFont val="Inter"/>
        <b/>
        <color rgb="FF99EA0C"/>
        <sz val="16.0"/>
      </rPr>
      <t>[lens]...</t>
    </r>
  </si>
  <si>
    <r>
      <rPr>
        <rFont val="Inter"/>
        <color rgb="FFFF6554"/>
        <sz val="16.0"/>
      </rPr>
      <t xml:space="preserve">so I ask </t>
    </r>
    <r>
      <rPr>
        <rFont val="Inter"/>
        <b/>
        <color rgb="FFFF6554"/>
        <sz val="16.0"/>
      </rPr>
      <t>[scopes]...</t>
    </r>
  </si>
  <si>
    <t>Scope Type</t>
  </si>
  <si>
    <t>OFTEn Calculator</t>
  </si>
  <si>
    <t>3 Buckets</t>
  </si>
  <si>
    <t>Responsible</t>
  </si>
  <si>
    <t>Accountable</t>
  </si>
  <si>
    <t>Consulted</t>
  </si>
  <si>
    <t>Informed</t>
  </si>
  <si>
    <r>
      <rPr>
        <rFont val="Inter"/>
        <b/>
        <color rgb="FF090B0C"/>
        <sz val="10.0"/>
      </rPr>
      <t xml:space="preserve">Agents = </t>
    </r>
    <r>
      <rPr>
        <rFont val="Inter"/>
        <color rgb="FF090B0C"/>
        <sz val="10.0"/>
      </rPr>
      <t xml:space="preserve"> use, evaluate, or determine how the dataset is used. 
</t>
    </r>
  </si>
  <si>
    <r>
      <rPr>
        <rFont val="Inter"/>
        <b/>
        <color rgb="FF090B0C"/>
        <sz val="10.0"/>
      </rPr>
      <t xml:space="preserve">Lens = </t>
    </r>
    <r>
      <rPr>
        <rFont val="Inter"/>
        <color rgb="FF090B0C"/>
        <sz val="10.0"/>
      </rPr>
      <t xml:space="preserve">A statement that describes what agents want to learn about the dataset from its Data Cards and documentation.
</t>
    </r>
  </si>
  <si>
    <r>
      <rPr>
        <rFont val="Inter"/>
        <b/>
        <color rgb="FF090B0C"/>
        <sz val="10.0"/>
      </rPr>
      <t xml:space="preserve">Scopes = </t>
    </r>
    <r>
      <rPr>
        <rFont val="Inter"/>
        <color rgb="FF090B0C"/>
        <sz val="10.0"/>
      </rPr>
      <t xml:space="preserve">Questions framed around a lens that agents ask to get answers that help them make decisions. 
</t>
    </r>
    <r>
      <rPr>
        <rFont val="Inter"/>
        <i/>
        <color rgb="FF090B0C"/>
        <sz val="10.0"/>
      </rPr>
      <t>There are 3 kinds of scope questions:</t>
    </r>
    <r>
      <rPr>
        <rFont val="Inter"/>
        <color rgb="FF090B0C"/>
        <sz val="10.0"/>
      </rPr>
      <t xml:space="preserve">
</t>
    </r>
    <r>
      <rPr>
        <rFont val="Inter"/>
        <b/>
        <color rgb="FF090B0C"/>
        <sz val="10.0"/>
      </rPr>
      <t xml:space="preserve">Telescopic: </t>
    </r>
    <r>
      <rPr>
        <rFont val="Inter"/>
        <color rgb="FF090B0C"/>
        <sz val="10.0"/>
      </rPr>
      <t xml:space="preserve">Questions about attributes commonly found across multiple datasets
</t>
    </r>
    <r>
      <rPr>
        <rFont val="Inter"/>
        <b/>
        <color rgb="FF090B0C"/>
        <sz val="10.0"/>
      </rPr>
      <t>Periscopic:</t>
    </r>
    <r>
      <rPr>
        <rFont val="Inter"/>
        <color rgb="FF090B0C"/>
        <sz val="10.0"/>
      </rPr>
      <t xml:space="preserve"> Questions about attributes specific to the producer’s dataset
</t>
    </r>
    <r>
      <rPr>
        <rFont val="Inter"/>
        <b/>
        <color rgb="FF090B0C"/>
        <sz val="10.0"/>
      </rPr>
      <t xml:space="preserve">Microscopic: </t>
    </r>
    <r>
      <rPr>
        <rFont val="Inter"/>
        <color rgb="FF090B0C"/>
        <sz val="10.0"/>
      </rPr>
      <t xml:space="preserve">Questions about unobservable aspects of the dataset
</t>
    </r>
    <r>
      <rPr>
        <rFont val="Inter"/>
        <i/>
        <color rgb="FF090B0C"/>
        <sz val="10.0"/>
      </rPr>
      <t>You can have more than one set of scopes for a lens. These becomes rows under each section in your Data Card.</t>
    </r>
  </si>
  <si>
    <r>
      <rPr>
        <rFont val="Inter"/>
        <i/>
        <color rgb="FF090B0C"/>
        <sz val="10.0"/>
      </rPr>
      <t>The 5 OFTEn categories are:</t>
    </r>
    <r>
      <rPr>
        <rFont val="Inter"/>
        <color rgb="FF090B0C"/>
        <sz val="10.0"/>
      </rPr>
      <t xml:space="preserve">
</t>
    </r>
    <r>
      <rPr>
        <rFont val="Inter"/>
        <b/>
        <color rgb="FF090B0C"/>
        <sz val="10.0"/>
      </rPr>
      <t xml:space="preserve">1. ORIGINS: </t>
    </r>
    <r>
      <rPr>
        <rFont val="Inter"/>
        <color rgb="FF090B0C"/>
        <sz val="10.0"/>
      </rPr>
      <t xml:space="preserve">The earliest part of the lifecycle, when decisions to create a dataset are made 
</t>
    </r>
    <r>
      <rPr>
        <rFont val="Inter"/>
        <b/>
        <color rgb="FF090B0C"/>
        <sz val="10.0"/>
      </rPr>
      <t>2. FACTUALS</t>
    </r>
    <r>
      <rPr>
        <rFont val="Inter"/>
        <color rgb="FF090B0C"/>
        <sz val="10.0"/>
      </rPr>
      <t xml:space="preserve">: The actual data collection process and the outputs 
</t>
    </r>
    <r>
      <rPr>
        <rFont val="Inter"/>
        <b/>
        <color rgb="FF090B0C"/>
        <sz val="10.0"/>
      </rPr>
      <t xml:space="preserve">3. TRANSFORMATIONS: </t>
    </r>
    <r>
      <rPr>
        <rFont val="Inter"/>
        <color rgb="FF090B0C"/>
        <sz val="10.0"/>
      </rPr>
      <t xml:space="preserve">Data is transformed through filtering, validating, parsing, formatting, and cleaning
</t>
    </r>
    <r>
      <rPr>
        <rFont val="Inter"/>
        <b/>
        <color rgb="FF090B0C"/>
        <sz val="10.0"/>
      </rPr>
      <t>4. EXPERIENCE:</t>
    </r>
    <r>
      <rPr>
        <rFont val="Inter"/>
        <color rgb="FF090B0C"/>
        <sz val="10.0"/>
      </rPr>
      <t xml:space="preserve"> The dataset is benchmarked or deployed in practice (experimental, production, or research) 
</t>
    </r>
    <r>
      <rPr>
        <rFont val="Inter"/>
        <b/>
        <color rgb="FF090B0C"/>
        <sz val="10.0"/>
      </rPr>
      <t>5. n = 1:</t>
    </r>
    <r>
      <rPr>
        <rFont val="Inter"/>
        <color rgb="FF090B0C"/>
        <sz val="10.0"/>
      </rPr>
      <t xml:space="preserve"> Describes actual samples of data
</t>
    </r>
  </si>
  <si>
    <r>
      <rPr>
        <rFont val="Inter"/>
        <i/>
        <color rgb="FF090B0C"/>
        <sz val="10.0"/>
      </rPr>
      <t>The 3 suggested buckets are:</t>
    </r>
    <r>
      <rPr>
        <rFont val="Inter"/>
        <color rgb="FF090B0C"/>
        <sz val="10.0"/>
      </rPr>
      <t xml:space="preserve"> 
1. Automatically Computed answer
2. Human written answer
3. Augmented/Combination answer
</t>
    </r>
    <r>
      <rPr>
        <rFont val="Inter"/>
        <i/>
        <color rgb="FF090B0C"/>
        <sz val="10.0"/>
      </rPr>
      <t>Feel free to adapt the choices to fit your dataset.</t>
    </r>
    <r>
      <rPr>
        <rFont val="Inter"/>
        <color rgb="FF090B0C"/>
        <sz val="10.0"/>
      </rPr>
      <t xml:space="preserve">
</t>
    </r>
  </si>
  <si>
    <t xml:space="preserve">Individuals who perform a task in the creation of the dataset are responsible for producing answers relevant to that task. </t>
  </si>
  <si>
    <t>Individual who is ultimately responsible to deliver this task. 
Note that this includes yes/no and veto power. Only one A can be assigned to a task.</t>
  </si>
  <si>
    <t>Individuals consulted prior to reaching a final answer. They may offer their feedback, advice, or opinion, but can’t be held responsible, accountable, or liable for the outcome. 
They make no decisions in the answers.</t>
  </si>
  <si>
    <t>The individuals who must be informed during the process, after a decision has been made, or when an answer has been created.</t>
  </si>
  <si>
    <t>Lens 1</t>
  </si>
  <si>
    <t>Telescopic Question</t>
  </si>
  <si>
    <t>Periscopic Question</t>
  </si>
  <si>
    <t>Microscopic Question</t>
  </si>
  <si>
    <t>Lens 2</t>
  </si>
  <si>
    <t>Lens 3</t>
  </si>
  <si>
    <t>Lens 4</t>
  </si>
  <si>
    <t>Lens 5</t>
  </si>
  <si>
    <t>Lens 6</t>
  </si>
  <si>
    <t>Lens 7</t>
  </si>
  <si>
    <t>Lens 8</t>
  </si>
  <si>
    <t>Lens 9</t>
  </si>
  <si>
    <t>Lens 10</t>
  </si>
  <si>
    <t>THE DATA CARDS PLAYBOOK • 01 ASK</t>
  </si>
  <si>
    <t>Agents Brainstorm Tracker</t>
  </si>
  <si>
    <t>INSTRUCTIONS:</t>
  </si>
  <si>
    <r>
      <rPr>
        <rFont val="Inter"/>
        <color rgb="FFC3CAD1"/>
        <sz val="24.0"/>
      </rPr>
      <t>[1]</t>
    </r>
    <r>
      <rPr>
        <rFont val="Inter"/>
        <b/>
        <color rgb="FF3C4043"/>
        <sz val="12.0"/>
      </rPr>
      <t xml:space="preserve">
</t>
    </r>
    <r>
      <rPr>
        <rFont val="Inter"/>
        <color rgb="FF3C4043"/>
        <sz val="12.0"/>
      </rPr>
      <t>Enter the list of Agents based on importance to your dataset and data card.</t>
    </r>
  </si>
  <si>
    <r>
      <rPr>
        <rFont val="Inter"/>
        <color rgb="FFC3CAD1"/>
        <sz val="24.0"/>
      </rPr>
      <t>[2]</t>
    </r>
    <r>
      <rPr>
        <rFont val="Inter"/>
        <b/>
        <color rgb="FF3C4043"/>
        <sz val="12.0"/>
      </rPr>
      <t xml:space="preserve">
</t>
    </r>
    <r>
      <rPr>
        <rFont val="Inter"/>
        <color rgb="FF3C4043"/>
        <sz val="12.0"/>
      </rPr>
      <t xml:space="preserve">Use the dropdown to enter the Data Fluency level for each agent. This provides an estimate of how comfortable the audience will be with using, understanding, and acting on the Data Card. 
</t>
    </r>
    <r>
      <rPr>
        <rFont val="Inter"/>
        <b/>
        <color rgb="FF3C4043"/>
        <sz val="12.0"/>
      </rPr>
      <t>This populates calculators in future modules.</t>
    </r>
  </si>
  <si>
    <r>
      <rPr>
        <rFont val="Inter"/>
        <color rgb="FFC3CAD1"/>
        <sz val="24.0"/>
      </rPr>
      <t>[3]</t>
    </r>
    <r>
      <rPr>
        <rFont val="Inter"/>
        <b/>
        <color rgb="FF3C4043"/>
        <sz val="12.0"/>
      </rPr>
      <t xml:space="preserve">
</t>
    </r>
    <r>
      <rPr>
        <rFont val="Inter"/>
        <color rgb="FF3C4043"/>
        <sz val="12.0"/>
      </rPr>
      <t xml:space="preserve">Use the dropdown to enter the Domain Expertise level for each agent. This provides an estimate of how much background knowledge the intended audience has to interpret the Data Card. 
</t>
    </r>
    <r>
      <rPr>
        <rFont val="Inter"/>
        <b/>
        <color rgb="FF3C4043"/>
        <sz val="12.0"/>
      </rPr>
      <t>This populates calculators in future modules.</t>
    </r>
  </si>
  <si>
    <r>
      <rPr>
        <rFont val="Inter"/>
        <color rgb="FFC3CAD1"/>
        <sz val="24.0"/>
      </rPr>
      <t>[4]</t>
    </r>
    <r>
      <rPr>
        <rFont val="Inter"/>
        <color rgb="FF3C4043"/>
        <sz val="12.0"/>
      </rPr>
      <t xml:space="preserve">
Provide links or transcribe notes from the persona worksheets in the align on agents activity for reference. This will make them easy to locate in subsequent sessions. 
</t>
    </r>
  </si>
  <si>
    <t>Importance</t>
  </si>
  <si>
    <t>Agent List</t>
  </si>
  <si>
    <t>Data Fluency</t>
  </si>
  <si>
    <t>Domain Expertise</t>
  </si>
  <si>
    <t>Notes about the agent</t>
  </si>
  <si>
    <t xml:space="preserve">Note: a Data Card will rarely work for everyone. That's ok. It should work 95% of the time for the top 3 agents, 75% of the time for the next 3, etc.
</t>
  </si>
  <si>
    <t xml:space="preserve">Agents =  use, evaluate, or determine how the dataset is used. </t>
  </si>
  <si>
    <r>
      <rPr>
        <rFont val="Inter"/>
        <b/>
        <color rgb="FF434343"/>
        <sz val="10.0"/>
      </rPr>
      <t>Data Fluency</t>
    </r>
    <r>
      <rPr>
        <rFont val="Inter"/>
        <color rgb="FF434343"/>
        <sz val="10.0"/>
      </rPr>
      <t xml:space="preserve"> is the familiarity and comfort that agents have with data, either in or outside of their domain of expertise.
–
No fluency: No data experience
Limited fluency: Basic understanding of the concepts represented in the data (conversational)
Average fluency: Ability to speak, write and engage in the data and its use cases (literate)
High fluency: Competent in designing and developing projects around data or applying transformations onto the data
Expert fluency: Strongly capable in understanding, manipulating and utilizing data across many domains</t>
    </r>
  </si>
  <si>
    <r>
      <rPr>
        <rFont val="Inter"/>
        <b/>
        <color rgb="FF434343"/>
        <sz val="10.0"/>
      </rPr>
      <t xml:space="preserve">Domain Knowledge </t>
    </r>
    <r>
      <rPr>
        <rFont val="Inter"/>
        <color rgb="FF434343"/>
        <sz val="10.0"/>
      </rPr>
      <t>implies knowledge and understanding of the essential aspects of a specific field of inquiry, in the domain of the dataset.
_
No Expertise: Zero knowledge in domain
Novice: Just starting to know about general issues or want to gain insight on some topic
Intermediate: Can answer general questions and have some basic domain concepts
Professional: Can answer and discuss domain specific topics well
Expert: Highly informative and can timely answer critical questions</t>
    </r>
  </si>
  <si>
    <t>Agent 1 (eg. ML developer)</t>
  </si>
  <si>
    <t>Please replace this example with your results</t>
  </si>
  <si>
    <t>Agent 2</t>
  </si>
  <si>
    <t>Agent 3</t>
  </si>
  <si>
    <t>Agent 4</t>
  </si>
  <si>
    <t>Agent 5</t>
  </si>
  <si>
    <t>Agent 6</t>
  </si>
  <si>
    <t>Agent 7</t>
  </si>
  <si>
    <t>Agent 8</t>
  </si>
  <si>
    <t>Agent 9</t>
  </si>
  <si>
    <t>Agent 10</t>
  </si>
  <si>
    <t>Lens Brainstorm Tracker</t>
  </si>
  <si>
    <r>
      <rPr>
        <rFont val="Inter"/>
        <color rgb="FFC3CAD1"/>
        <sz val="24.0"/>
      </rPr>
      <t>[1]</t>
    </r>
    <r>
      <rPr>
        <rFont val="Inter"/>
        <b/>
        <color rgb="FF3C4043"/>
        <sz val="12.0"/>
      </rPr>
      <t xml:space="preserve">
</t>
    </r>
    <r>
      <rPr>
        <rFont val="Inter"/>
        <color rgb="FF3C4043"/>
        <sz val="12.0"/>
      </rPr>
      <t xml:space="preserve">Use the dropdown to select the OFTEn theme on the Lens card. </t>
    </r>
  </si>
  <si>
    <r>
      <rPr>
        <rFont val="Inter"/>
        <color rgb="FFC3CAD1"/>
        <sz val="24.0"/>
      </rPr>
      <t>[2]</t>
    </r>
    <r>
      <rPr>
        <rFont val="Inter"/>
        <b/>
        <color rgb="FF3C4043"/>
        <sz val="12.0"/>
      </rPr>
      <t xml:space="preserve">
</t>
    </r>
    <r>
      <rPr>
        <rFont val="Inter"/>
        <color rgb="FF3C4043"/>
        <sz val="12.0"/>
      </rPr>
      <t>Using the dropdown, select the agent whose perspective is represented in the Lens Card</t>
    </r>
  </si>
  <si>
    <r>
      <rPr>
        <rFont val="Inter"/>
        <color rgb="FFC3CAD1"/>
        <sz val="24.0"/>
      </rPr>
      <t>[3]</t>
    </r>
    <r>
      <rPr>
        <rFont val="Inter"/>
        <color rgb="FF3C4043"/>
        <sz val="24.0"/>
      </rPr>
      <t xml:space="preserve">
</t>
    </r>
    <r>
      <rPr>
        <rFont val="Inter"/>
        <color rgb="FF3C4043"/>
        <sz val="12.0"/>
      </rPr>
      <t xml:space="preserve">Enter the lens statement from the Lens Card. </t>
    </r>
  </si>
  <si>
    <r>
      <rPr>
        <rFont val="Inter"/>
        <color rgb="FFC3CAD1"/>
        <sz val="24.0"/>
      </rPr>
      <t>[4]</t>
    </r>
    <r>
      <rPr>
        <rFont val="Inter"/>
        <color rgb="FF3C4043"/>
        <sz val="24.0"/>
      </rPr>
      <t xml:space="preserve">
</t>
    </r>
    <r>
      <rPr>
        <rFont val="Inter"/>
        <color rgb="FF3C4043"/>
        <sz val="12.0"/>
      </rPr>
      <t xml:space="preserve">Optionally, use the dropdown to give each Lens an importance rating to take to the next phase of the brainstorm.
</t>
    </r>
  </si>
  <si>
    <t>OFTEn Card used</t>
  </si>
  <si>
    <r>
      <rPr>
        <rFont val="Inter"/>
        <color rgb="FFF1F7F7"/>
        <sz val="16.0"/>
      </rPr>
      <t>As a(n) [</t>
    </r>
    <r>
      <rPr>
        <rFont val="Space Grotesk"/>
        <color rgb="FFF1F7F7"/>
        <sz val="16.0"/>
      </rPr>
      <t>perspective</t>
    </r>
    <r>
      <rPr>
        <rFont val="Inter"/>
        <color rgb="FFF1F7F7"/>
        <sz val="16.0"/>
      </rPr>
      <t>]</t>
    </r>
  </si>
  <si>
    <r>
      <rPr>
        <rFont val="Inter"/>
        <color rgb="FFF1F7F7"/>
        <sz val="16.0"/>
      </rPr>
      <t>I want to know...[</t>
    </r>
    <r>
      <rPr>
        <rFont val="Space Grotesk"/>
        <color rgb="FFF1F7F7"/>
        <sz val="16.0"/>
      </rPr>
      <t>enter lens</t>
    </r>
    <r>
      <rPr>
        <rFont val="Inter"/>
        <color rgb="FFF1F7F7"/>
        <sz val="16.0"/>
      </rPr>
      <t>]</t>
    </r>
  </si>
  <si>
    <t>Initial Importance Rating</t>
  </si>
  <si>
    <r>
      <rPr>
        <rFont val="Inter"/>
        <b/>
        <color rgb="FF434343"/>
        <sz val="10.0"/>
      </rPr>
      <t>5 OFTEn categories are:</t>
    </r>
    <r>
      <rPr>
        <rFont val="Inter"/>
        <color rgb="FF434343"/>
        <sz val="10.0"/>
      </rPr>
      <t xml:space="preserve">
</t>
    </r>
    <r>
      <rPr>
        <rFont val="Inter"/>
        <b/>
        <color rgb="FF434343"/>
        <sz val="10.0"/>
      </rPr>
      <t>1. ORIGINS:</t>
    </r>
    <r>
      <rPr>
        <rFont val="Inter"/>
        <color rgb="FF434343"/>
        <sz val="10.0"/>
      </rPr>
      <t xml:space="preserve"> The earliest part of the lifecycle, when decisions to create a dataset are made 
</t>
    </r>
    <r>
      <rPr>
        <rFont val="Inter"/>
        <b/>
        <color rgb="FF434343"/>
        <sz val="10.0"/>
      </rPr>
      <t>2. FACTUALS</t>
    </r>
    <r>
      <rPr>
        <rFont val="Inter"/>
        <color rgb="FF434343"/>
        <sz val="10.0"/>
      </rPr>
      <t xml:space="preserve">: The actual data collection process and the outputs 
</t>
    </r>
    <r>
      <rPr>
        <rFont val="Inter"/>
        <b/>
        <color rgb="FF434343"/>
        <sz val="10.0"/>
      </rPr>
      <t xml:space="preserve">3. TRANSFORMATIONS: </t>
    </r>
    <r>
      <rPr>
        <rFont val="Inter"/>
        <color rgb="FF434343"/>
        <sz val="10.0"/>
      </rPr>
      <t xml:space="preserve">Data is transformed through filtering, validating, parsing, formatting, and cleaning
</t>
    </r>
    <r>
      <rPr>
        <rFont val="Inter"/>
        <b/>
        <color rgb="FF434343"/>
        <sz val="10.0"/>
      </rPr>
      <t xml:space="preserve">4. EXPERIENCE: </t>
    </r>
    <r>
      <rPr>
        <rFont val="Inter"/>
        <color rgb="FF434343"/>
        <sz val="10.0"/>
      </rPr>
      <t xml:space="preserve">The dataset is benchmarked or deployed in practice (experimental, production, or research) 
</t>
    </r>
    <r>
      <rPr>
        <rFont val="Inter"/>
        <b/>
        <color rgb="FF434343"/>
        <sz val="10.0"/>
      </rPr>
      <t>5. n = 1:</t>
    </r>
    <r>
      <rPr>
        <rFont val="Inter"/>
        <color rgb="FF434343"/>
        <sz val="10.0"/>
      </rPr>
      <t xml:space="preserve"> Describes actual samples of data</t>
    </r>
    <r>
      <rPr>
        <rFont val="Inter"/>
        <b/>
        <color rgb="FF434343"/>
        <sz val="10.0"/>
      </rPr>
      <t xml:space="preserve">
</t>
    </r>
    <r>
      <rPr>
        <rFont val="Inter"/>
        <i/>
        <color rgb="FF434343"/>
        <sz val="10.0"/>
      </rPr>
      <t>OFTEn categories are fluid, so if unsure, select the most relevant for your lens, dataset, and Agent.</t>
    </r>
  </si>
  <si>
    <r>
      <rPr>
        <rFont val="Inter"/>
        <b/>
        <color rgb="FF434343"/>
        <sz val="10.0"/>
      </rPr>
      <t xml:space="preserve">An agent’s unique role that frames how they read Data Cards and other documentation.
Agents =  use, evaluate, or determine how the dataset is used. 
</t>
    </r>
    <r>
      <rPr>
        <rFont val="Inter"/>
        <color rgb="FF434343"/>
        <sz val="10.0"/>
      </rPr>
      <t xml:space="preserve">Stakeholders who use and evaluate datasets and their corresponding Data Cards. They can make decisions about the use of your dataset, which can be based solely on insights provided in dataset documentation. </t>
    </r>
  </si>
  <si>
    <r>
      <rPr>
        <rFont val="Inter"/>
        <b/>
        <color rgb="FF425354"/>
        <sz val="10.0"/>
      </rPr>
      <t xml:space="preserve">Lens= </t>
    </r>
    <r>
      <rPr>
        <rFont val="Inter"/>
        <color rgb="FF425354"/>
        <sz val="10.0"/>
      </rPr>
      <t xml:space="preserve">Statements that articulate what agents want to learn from a Data Card and other documentation. These should convey a single idea, and capture the unique perspective of the agent where applicable.
</t>
    </r>
    <r>
      <rPr>
        <rFont val="Inter"/>
        <i/>
        <color rgb="FF425354"/>
        <sz val="10.0"/>
      </rPr>
      <t>You should be able to convert a Lens into a short title for a section in your Data Card.</t>
    </r>
  </si>
  <si>
    <r>
      <rPr>
        <rFont val="Inter"/>
        <b/>
        <color rgb="FF666666"/>
        <sz val="10.0"/>
      </rPr>
      <t xml:space="preserve">Choose one of 3 ratings:
</t>
    </r>
    <r>
      <rPr>
        <rFont val="Inter"/>
        <color rgb="FF666666"/>
        <sz val="10.0"/>
      </rPr>
      <t xml:space="preserve">1. Very important or essential
2. Somewhat important
3. Slightly importnatn
</t>
    </r>
    <r>
      <rPr>
        <rFont val="Inter"/>
        <i/>
        <color rgb="FF666666"/>
        <sz val="10.0"/>
      </rPr>
      <t xml:space="preserve">
This will help guide which Lenses you would like to breakdown Scopes for in the next brainstorm. </t>
    </r>
  </si>
  <si>
    <t>Origins</t>
  </si>
  <si>
    <t>The sources of the data</t>
  </si>
  <si>
    <t>Very important or essential</t>
  </si>
  <si>
    <t>Scopes Brainstorm Tracker</t>
  </si>
  <si>
    <r>
      <rPr>
        <rFont val="Inter"/>
        <color rgb="FFC3CAD1"/>
        <sz val="24.0"/>
      </rPr>
      <t>[1]</t>
    </r>
    <r>
      <rPr>
        <rFont val="Inter"/>
        <b/>
        <color rgb="FF3C4043"/>
        <sz val="12.0"/>
      </rPr>
      <t xml:space="preserve">
</t>
    </r>
    <r>
      <rPr>
        <rFont val="Inter"/>
        <color rgb="FF3C4043"/>
        <sz val="12.0"/>
      </rPr>
      <t>Enter the Lenses explored in the Scopes brainstorm.</t>
    </r>
  </si>
  <si>
    <r>
      <rPr>
        <rFont val="Inter"/>
        <color rgb="FFC3CAD1"/>
        <sz val="24.0"/>
      </rPr>
      <t>[2]</t>
    </r>
    <r>
      <rPr>
        <rFont val="Inter"/>
        <b/>
        <color rgb="FF3C4043"/>
        <sz val="12.0"/>
      </rPr>
      <t xml:space="preserve">
</t>
    </r>
    <r>
      <rPr>
        <rFont val="Inter"/>
        <color rgb="FF3C4043"/>
        <sz val="12.0"/>
      </rPr>
      <t xml:space="preserve">Write the Scopes that were brainstormed from the associated Lens. You may have multiple sets of Scopes per Lens. Aim for between 1 and 3 sets of Scopes for each Lens. </t>
    </r>
  </si>
  <si>
    <t>Use the dropdown to assign each question a scope type.</t>
  </si>
  <si>
    <r>
      <rPr>
        <rFont val="Inter"/>
        <color rgb="FFC3CAD1"/>
        <sz val="24.0"/>
      </rPr>
      <t>[3]</t>
    </r>
    <r>
      <rPr>
        <rFont val="Inter"/>
        <color rgb="FF3C4043"/>
        <sz val="24.0"/>
      </rPr>
      <t xml:space="preserve">
</t>
    </r>
    <r>
      <rPr>
        <rFont val="Inter"/>
        <color rgb="FF3C4043"/>
        <sz val="12.0"/>
      </rPr>
      <t>Once you have a list of well-written Scopes, decide which are most important to your Agents. It may be helpful to vote individually and then average the ratings to have an official group rating.</t>
    </r>
  </si>
  <si>
    <t>As a(n) [perspective], I want to know...[enter lens]</t>
  </si>
  <si>
    <r>
      <rPr>
        <rFont val="Inter"/>
        <color rgb="FFF1F7F7"/>
        <sz val="14.0"/>
      </rPr>
      <t xml:space="preserve">so I ask... </t>
    </r>
    <r>
      <rPr>
        <rFont val="Inter"/>
        <color rgb="FFF1F7F7"/>
        <sz val="14.0"/>
      </rPr>
      <t>[enter scopes]</t>
    </r>
  </si>
  <si>
    <t>Type of Scope</t>
  </si>
  <si>
    <r>
      <rPr>
        <rFont val="Inter"/>
        <b/>
        <color rgb="FF090B0C"/>
        <sz val="10.0"/>
      </rPr>
      <t xml:space="preserve">Lens: </t>
    </r>
    <r>
      <rPr>
        <rFont val="Inter"/>
        <color rgb="FF090B0C"/>
        <sz val="10.0"/>
      </rPr>
      <t xml:space="preserve">A statement that describes what Agents want to learn about the dataset from its Data Cards and documentation. These account for the unique perspectives that Agents bring to the table.
</t>
    </r>
    <r>
      <rPr>
        <rFont val="Inter"/>
        <i/>
        <color rgb="FF090B0C"/>
        <sz val="10.0"/>
      </rPr>
      <t>You should be able to convert a lens into a short title for a section in your Data Card.</t>
    </r>
  </si>
  <si>
    <r>
      <rPr>
        <rFont val="Inter"/>
        <b/>
        <color rgb="FF090B0C"/>
        <sz val="10.0"/>
      </rPr>
      <t xml:space="preserve">Input the Scopes below and indicate which type it is.
Scopes = </t>
    </r>
    <r>
      <rPr>
        <rFont val="Inter"/>
        <color rgb="FF090B0C"/>
        <sz val="10.0"/>
      </rPr>
      <t xml:space="preserve">Questions framed around a lens that agents ask to get answers that help them make decisions. 
</t>
    </r>
    <r>
      <rPr>
        <rFont val="Inter"/>
        <i/>
        <color rgb="FF090B0C"/>
        <sz val="10.0"/>
      </rPr>
      <t>There are 3 kinds of scope questions:</t>
    </r>
    <r>
      <rPr>
        <rFont val="Inter"/>
        <color rgb="FF090B0C"/>
        <sz val="10.0"/>
      </rPr>
      <t xml:space="preserve">
</t>
    </r>
    <r>
      <rPr>
        <rFont val="Inter"/>
        <b/>
        <color rgb="FF090B0C"/>
        <sz val="10.0"/>
      </rPr>
      <t xml:space="preserve">Telescopic: </t>
    </r>
    <r>
      <rPr>
        <rFont val="Inter"/>
        <color rgb="FF090B0C"/>
        <sz val="10.0"/>
      </rPr>
      <t xml:space="preserve">Questions about attributes commonly found across multiple datasets
</t>
    </r>
    <r>
      <rPr>
        <rFont val="Inter"/>
        <b/>
        <color rgb="FF090B0C"/>
        <sz val="10.0"/>
      </rPr>
      <t>Periscopic:</t>
    </r>
    <r>
      <rPr>
        <rFont val="Inter"/>
        <color rgb="FF090B0C"/>
        <sz val="10.0"/>
      </rPr>
      <t xml:space="preserve"> Questions about attributes specific to the producer’s dataset
</t>
    </r>
    <r>
      <rPr>
        <rFont val="Inter"/>
        <b/>
        <color rgb="FF090B0C"/>
        <sz val="10.0"/>
      </rPr>
      <t xml:space="preserve">Microscopic: </t>
    </r>
    <r>
      <rPr>
        <rFont val="Inter"/>
        <color rgb="FF090B0C"/>
        <sz val="10.0"/>
      </rPr>
      <t xml:space="preserve">Questions about unobservable aspects of the dataset
</t>
    </r>
    <r>
      <rPr>
        <rFont val="Inter"/>
        <i/>
        <color rgb="FF090B0C"/>
        <sz val="10.0"/>
      </rPr>
      <t>You can have more than one set of scopes for a lens. These becomes rows under each section in your Data Card.</t>
    </r>
  </si>
  <si>
    <r>
      <rPr>
        <rFont val="Inter"/>
        <color rgb="FF090B0C"/>
        <sz val="10.0"/>
      </rPr>
      <t xml:space="preserve">This will be your first gut call of which scopes are most important to the agent. This will be primarily used to guide which Scopes you might want to take forward to the template.
</t>
    </r>
    <r>
      <rPr>
        <rFont val="Inter"/>
        <b/>
        <color rgb="FF090B0C"/>
        <sz val="10.0"/>
      </rPr>
      <t>Choose one of 3 ratings:</t>
    </r>
    <r>
      <rPr>
        <rFont val="Inter"/>
        <color rgb="FF090B0C"/>
        <sz val="10.0"/>
      </rPr>
      <t xml:space="preserve">
1. Very important or essential
2. Somewhat important
3. Slightly important
This will help guide which Scopes to take forward to the Data Card template.</t>
    </r>
  </si>
  <si>
    <t>(e.g. As an ML Developer, I want to how labels were created)</t>
  </si>
  <si>
    <t>[T]</t>
  </si>
  <si>
    <t>[P]</t>
  </si>
  <si>
    <t>[M]</t>
  </si>
  <si>
    <t>THE DATA CARDS PLAYBOOK • 02 INSPECT</t>
  </si>
  <si>
    <t>Dimensions Worksheet</t>
  </si>
  <si>
    <r>
      <rPr>
        <rFont val="Inter"/>
        <color rgb="FFCDDCDC"/>
        <sz val="24.0"/>
      </rPr>
      <t>[1]</t>
    </r>
    <r>
      <rPr>
        <rFont val="Inter"/>
        <b/>
        <color rgb="FF6F8D8E"/>
        <sz val="12.0"/>
      </rPr>
      <t xml:space="preserve">
</t>
    </r>
    <r>
      <rPr>
        <rFont val="Inter"/>
        <color rgb="FF425354"/>
        <sz val="12.0"/>
      </rPr>
      <t>Once the group has completed their Dimension Worksheets, capture the overall rating for each Dimension. Once the Data Card template is drafted, it's easy to see how a populated Data Card compares to the expectations set here.</t>
    </r>
  </si>
  <si>
    <r>
      <rPr>
        <rFont val="Inter"/>
        <color rgb="FFCDDCDC"/>
        <sz val="24.0"/>
      </rPr>
      <t>[2]</t>
    </r>
    <r>
      <rPr>
        <rFont val="Inter"/>
        <b/>
        <color rgb="FF6F8D8E"/>
        <sz val="12.0"/>
      </rPr>
      <t xml:space="preserve">
</t>
    </r>
    <r>
      <rPr>
        <rFont val="Inter"/>
        <color rgb="FF425354"/>
        <sz val="12.0"/>
      </rPr>
      <t>Fill in the required Fluency for each of the Dimensions. This will populate the Fluency Calculators.</t>
    </r>
  </si>
  <si>
    <r>
      <rPr>
        <rFont val="Inter"/>
        <color rgb="FFCDDCDC"/>
        <sz val="24.0"/>
      </rPr>
      <t>[3]</t>
    </r>
    <r>
      <rPr>
        <rFont val="Inter"/>
        <b/>
        <color rgb="FF6F8D8E"/>
        <sz val="12.0"/>
      </rPr>
      <t xml:space="preserve">
</t>
    </r>
    <r>
      <rPr>
        <rFont val="Inter"/>
        <color rgb="FF425354"/>
        <sz val="12.0"/>
      </rPr>
      <t>Fill in the required Domain Expertise for each of the Dimensions.</t>
    </r>
  </si>
  <si>
    <t>Dimension</t>
  </si>
  <si>
    <t>Dimension Rating</t>
  </si>
  <si>
    <t>Required Data Fluency</t>
  </si>
  <si>
    <t>Required Domain Expertise</t>
  </si>
  <si>
    <r>
      <rPr>
        <rFont val="Rubik"/>
        <b/>
        <color rgb="FF434343"/>
        <sz val="10.0"/>
      </rPr>
      <t xml:space="preserve">Dimensions represent the different types of value judgements that agents make about a dataset from a Data Card. </t>
    </r>
    <r>
      <rPr>
        <rFont val="Rubik"/>
        <color rgb="FF434343"/>
        <sz val="10.0"/>
      </rPr>
      <t xml:space="preserve">
Use dimensions for directional insights into whether or not the Data Card helps Agents arrive at acceptable conclusions about the dataset.</t>
    </r>
  </si>
  <si>
    <r>
      <rPr>
        <rFont val="Inter"/>
        <color rgb="FF434343"/>
        <sz val="10.0"/>
      </rPr>
      <t>How well does the Data Card template support assessments for this Dimension?</t>
    </r>
    <r>
      <rPr>
        <rFont val="Inter"/>
        <b/>
        <color rgb="FF434343"/>
        <sz val="10.0"/>
      </rPr>
      <t xml:space="preserve"> Use the dropdown to enter a rating for each Dimension.</t>
    </r>
    <r>
      <rPr>
        <rFont val="Inter"/>
        <color rgb="FF434343"/>
        <sz val="10.0"/>
      </rPr>
      <t xml:space="preserve">
</t>
    </r>
    <r>
      <rPr>
        <rFont val="Inter"/>
        <b/>
        <i/>
        <color rgb="FF434343"/>
        <sz val="10.0"/>
      </rPr>
      <t>Pick from:</t>
    </r>
    <r>
      <rPr>
        <rFont val="Inter"/>
        <color rgb="FF434343"/>
        <sz val="10.0"/>
      </rPr>
      <t xml:space="preserve">
- Outstanding
- Solid
- Average
- Borderline
- Poor</t>
    </r>
  </si>
  <si>
    <r>
      <rPr>
        <rFont val="Inter"/>
        <color rgb="FF434343"/>
        <sz val="10.0"/>
      </rPr>
      <t xml:space="preserve">What's the required </t>
    </r>
    <r>
      <rPr>
        <rFont val="Inter"/>
        <b/>
        <color rgb="FF434343"/>
        <sz val="10.0"/>
      </rPr>
      <t>Data Fluency</t>
    </r>
    <r>
      <rPr>
        <rFont val="Inter"/>
        <color rgb="FF434343"/>
        <sz val="10.0"/>
      </rPr>
      <t xml:space="preserve"> needed to make an assessment for this Dimension?</t>
    </r>
    <r>
      <rPr>
        <rFont val="Inter"/>
        <b/>
        <color rgb="FF434343"/>
        <sz val="10.0"/>
      </rPr>
      <t xml:space="preserve"> Use the dropdown to enter a rating for each Dimension.
</t>
    </r>
    <r>
      <rPr>
        <rFont val="Inter"/>
        <i/>
        <color rgb="FF434343"/>
        <sz val="10.0"/>
      </rPr>
      <t xml:space="preserve">Reminder: Fluency is defined as the familiarity and comfort that Agents have with data, either in or outside of their domain of expertise. 
</t>
    </r>
    <r>
      <rPr>
        <rFont val="Inter"/>
        <b/>
        <i/>
        <color rgb="FF434343"/>
        <sz val="10.0"/>
      </rPr>
      <t>Pick from:</t>
    </r>
    <r>
      <rPr>
        <rFont val="Inter"/>
        <color rgb="FF434343"/>
        <sz val="10.0"/>
      </rPr>
      <t xml:space="preserve">
- 1 (No Fluency)
- 2 (Limited Fluency)
- 3 (Average Fluency)
- 4 (High Fluency)
- 5 (Expert Fluency)</t>
    </r>
  </si>
  <si>
    <r>
      <rPr>
        <rFont val="Inter"/>
        <color rgb="FF434343"/>
        <sz val="10.0"/>
      </rPr>
      <t xml:space="preserve">If at all, what is the required </t>
    </r>
    <r>
      <rPr>
        <rFont val="Inter"/>
        <b/>
        <color rgb="FF434343"/>
        <sz val="10.0"/>
      </rPr>
      <t>Domain Expertise</t>
    </r>
    <r>
      <rPr>
        <rFont val="Inter"/>
        <color rgb="FF434343"/>
        <sz val="10.0"/>
      </rPr>
      <t xml:space="preserve"> needed to make an assessment for this dimension?  </t>
    </r>
    <r>
      <rPr>
        <rFont val="Inter"/>
        <b/>
        <color rgb="FF434343"/>
        <sz val="10.0"/>
      </rPr>
      <t xml:space="preserve">Use the dropdown to enter a rating for each Dimension.
</t>
    </r>
    <r>
      <rPr>
        <rFont val="Inter"/>
        <i/>
        <color rgb="FF434343"/>
        <sz val="10.0"/>
      </rPr>
      <t xml:space="preserve">Reminder: Domain expertise implies knowledge and understanding of the essential aspects of a specific field of inquiry, in the domain of the dataset.  </t>
    </r>
    <r>
      <rPr>
        <rFont val="Inter"/>
        <color rgb="FF434343"/>
        <sz val="10.0"/>
      </rPr>
      <t xml:space="preserve">
</t>
    </r>
    <r>
      <rPr>
        <rFont val="Inter"/>
        <b/>
        <i/>
        <color rgb="FF434343"/>
        <sz val="10.0"/>
      </rPr>
      <t>Pick from:</t>
    </r>
    <r>
      <rPr>
        <rFont val="Inter"/>
        <color rgb="FF434343"/>
        <sz val="10.0"/>
      </rPr>
      <t xml:space="preserve">
- 1 (No Expertise)
- 2 (Novice)
- 3 (Intermediate)
- 4 (Professional)
- 5 (Domain Expert)</t>
    </r>
  </si>
  <si>
    <t>Accountability</t>
  </si>
  <si>
    <t>Impact &amp; Consequences</t>
  </si>
  <si>
    <t>Quality</t>
  </si>
  <si>
    <t>Risk &amp; Recommendations</t>
  </si>
  <si>
    <t>Use &amp; Utility</t>
  </si>
  <si>
    <t>Input: Dimensions Ranking (for Each Agent)</t>
  </si>
  <si>
    <t>How to use this sheet:</t>
  </si>
  <si>
    <r>
      <rPr>
        <rFont val="Roboto Mono"/>
        <color rgb="FFCDDCDC"/>
        <sz val="24.0"/>
      </rPr>
      <t>[1]</t>
    </r>
    <r>
      <rPr>
        <rFont val="Roboto"/>
        <b/>
        <color rgb="FF6F8D8E"/>
        <sz val="12.0"/>
      </rPr>
      <t xml:space="preserve">
</t>
    </r>
    <r>
      <rPr>
        <rFont val="Roboto"/>
        <color rgb="FF425354"/>
        <sz val="12.0"/>
      </rPr>
      <t>Rank each Dimension by their importance to your top 5 agents from the Priority Brainstorm.</t>
    </r>
  </si>
  <si>
    <r>
      <rPr>
        <rFont val="Roboto Mono"/>
        <color rgb="FFCDDCDC"/>
        <sz val="24.0"/>
      </rPr>
      <t>[2]</t>
    </r>
    <r>
      <rPr>
        <rFont val="Roboto"/>
        <b/>
        <color rgb="FF6F8D8E"/>
        <sz val="12.0"/>
      </rPr>
      <t xml:space="preserve">
</t>
    </r>
    <r>
      <rPr>
        <rFont val="Roboto"/>
        <color rgb="FF425354"/>
        <sz val="12.0"/>
      </rPr>
      <t>These will populate the fluency calculator. Use the results of the fluency calculator to identify opportunities for improvement.</t>
    </r>
  </si>
  <si>
    <t>NOTE
–
Unranked dimensions are shown below the fold.</t>
  </si>
  <si>
    <t>Rank</t>
  </si>
  <si>
    <t>Dimensions to be ranked:</t>
  </si>
  <si>
    <t>Outputs: Fluency Calculator</t>
  </si>
  <si>
    <t>Fluency Calculator</t>
  </si>
  <si>
    <t>HOW TO INTERPRET: 1 is most fluenct, 5 is least fluent
–
👎  = Difficult for agent to read
🤔  = Could be difficult
👍  = Looks safe
_
NOTE: Calculator results are purely directional</t>
  </si>
  <si>
    <t>Available Fluency:</t>
  </si>
  <si>
    <t>Required Fluency:</t>
  </si>
  <si>
    <t>Ranking Calculator</t>
  </si>
  <si>
    <t>HOW TO READ: 1 is most important, 5 is least important
_
❓Average: Average score. 
❓Min: Highest ranking across all the agents.
❓Max:  Lowest ranking across all the agents.
_ 
NOTE: Calculator results are purely directional.</t>
  </si>
  <si>
    <t>Average Ranking</t>
  </si>
  <si>
    <t>Min</t>
  </si>
  <si>
    <t>Max</t>
  </si>
  <si>
    <t>Importance Ranking</t>
  </si>
  <si>
    <t>Outputs: OFTEn Calculator</t>
  </si>
  <si>
    <t>Count</t>
  </si>
  <si>
    <t>Summary</t>
  </si>
  <si>
    <t>Factuals</t>
  </si>
  <si>
    <t>Transformations</t>
  </si>
  <si>
    <t>Experience</t>
  </si>
  <si>
    <t>n=1</t>
  </si>
  <si>
    <t>Others</t>
  </si>
  <si>
    <t>N/A</t>
  </si>
  <si>
    <t>DMC Playbook</t>
  </si>
  <si>
    <t>OFTEn coverage</t>
  </si>
  <si>
    <t>check</t>
  </si>
  <si>
    <t>balance</t>
  </si>
  <si>
    <t>agent</t>
  </si>
  <si>
    <t>importance</t>
  </si>
  <si>
    <t>AIP risk assessment framework</t>
  </si>
  <si>
    <t>Official Tracker</t>
  </si>
  <si>
    <t>Calculator 1</t>
  </si>
  <si>
    <t>Calculator 2</t>
  </si>
  <si>
    <t>Calculator 3</t>
  </si>
  <si>
    <t>Chapter 3</t>
  </si>
  <si>
    <t>As a [enter Perspective Type]...</t>
  </si>
  <si>
    <t>I want to know...</t>
  </si>
  <si>
    <t>so I ask...</t>
  </si>
  <si>
    <t>OFTEn</t>
  </si>
  <si>
    <t>Theme</t>
  </si>
  <si>
    <t>Helpfulness</t>
  </si>
  <si>
    <t>Agent</t>
  </si>
  <si>
    <t>Health Score</t>
  </si>
  <si>
    <t>Risk Type</t>
  </si>
  <si>
    <t>Risk Level</t>
  </si>
  <si>
    <t>Detailed Findings</t>
  </si>
  <si>
    <t>Plan</t>
  </si>
  <si>
    <t>Responsbile</t>
  </si>
  <si>
    <t>Status</t>
  </si>
  <si>
    <t>PRDs</t>
  </si>
  <si>
    <t>Latest Design</t>
  </si>
  <si>
    <t>Buganizer Hotlists</t>
  </si>
  <si>
    <t>OKR links</t>
  </si>
  <si>
    <t>Owners</t>
  </si>
  <si>
    <r>
      <rPr>
        <rFont val="Roboto"/>
        <b/>
        <color rgb="FFFFBDE3"/>
        <sz val="10.0"/>
      </rPr>
      <t>01 Ask /</t>
    </r>
    <r>
      <rPr>
        <rFont val="Roboto"/>
        <color rgb="FFFFBDE3"/>
        <sz val="10.0"/>
      </rPr>
      <t xml:space="preserve"> Lenses &amp; Scopes</t>
    </r>
  </si>
  <si>
    <r>
      <rPr>
        <rFont val="Roboto"/>
        <b/>
        <color rgb="FFFFBDE3"/>
        <sz val="10.0"/>
      </rPr>
      <t>01 Ask /</t>
    </r>
    <r>
      <rPr>
        <rFont val="Roboto"/>
        <color rgb="FFFFBDE3"/>
        <sz val="10.0"/>
      </rPr>
      <t xml:space="preserve"> Lenses &amp; Scopes</t>
    </r>
  </si>
  <si>
    <r>
      <rPr>
        <rFont val="Roboto"/>
        <b/>
        <color rgb="FFFFBDE3"/>
        <sz val="10.0"/>
      </rPr>
      <t>01 Ask /</t>
    </r>
    <r>
      <rPr>
        <rFont val="Roboto"/>
        <color rgb="FFFFBDE3"/>
        <sz val="10.0"/>
      </rPr>
      <t xml:space="preserve"> Lenses &amp; Scopes</t>
    </r>
  </si>
  <si>
    <r>
      <rPr>
        <rFont val="Roboto"/>
        <b/>
        <color rgb="FFFFBDE3"/>
        <sz val="10.0"/>
      </rPr>
      <t>02 Inspect /</t>
    </r>
    <r>
      <rPr>
        <rFont val="Roboto"/>
        <color rgb="FFFFBDE3"/>
        <sz val="10.0"/>
      </rPr>
      <t xml:space="preserve"> Gut Check</t>
    </r>
  </si>
  <si>
    <r>
      <rPr>
        <rFont val="Roboto"/>
        <b/>
        <color rgb="FFFFBDE3"/>
        <sz val="10.0"/>
      </rPr>
      <t xml:space="preserve">02 Inspect / </t>
    </r>
    <r>
      <rPr>
        <rFont val="Roboto"/>
        <color rgb="FFFFBDE3"/>
        <sz val="10.0"/>
      </rPr>
      <t>Gut Check</t>
    </r>
  </si>
  <si>
    <r>
      <rPr>
        <rFont val="Roboto"/>
        <b/>
        <color rgb="FFFFBDE3"/>
        <sz val="10.0"/>
      </rPr>
      <t xml:space="preserve">02 Inspect / </t>
    </r>
    <r>
      <rPr>
        <rFont val="Roboto"/>
        <color rgb="FFFFBDE3"/>
        <sz val="10.0"/>
      </rPr>
      <t>Gut Check</t>
    </r>
  </si>
  <si>
    <r>
      <rPr>
        <rFont val="Roboto"/>
        <b/>
        <color rgb="FFFFBDE3"/>
        <sz val="10.0"/>
      </rPr>
      <t xml:space="preserve">02 Inspect / </t>
    </r>
    <r>
      <rPr>
        <rFont val="Roboto"/>
        <color rgb="FFFFBDE3"/>
        <sz val="10.0"/>
      </rPr>
      <t>Gut Check</t>
    </r>
  </si>
  <si>
    <r>
      <rPr>
        <rFont val="Roboto"/>
        <b/>
        <color rgb="FFFFBDE3"/>
        <sz val="10.0"/>
      </rPr>
      <t xml:space="preserve">02 Inspect / </t>
    </r>
    <r>
      <rPr>
        <rFont val="Roboto"/>
        <color rgb="FFFFBDE3"/>
        <sz val="10.0"/>
      </rPr>
      <t>Gut Check</t>
    </r>
  </si>
  <si>
    <r>
      <rPr>
        <rFont val="Roboto"/>
        <b/>
        <color rgb="FFFFBDE3"/>
        <sz val="10.0"/>
      </rPr>
      <t xml:space="preserve">02 Inspect / </t>
    </r>
    <r>
      <rPr>
        <rFont val="Roboto"/>
        <color rgb="FFFFBDE3"/>
        <sz val="10.0"/>
      </rPr>
      <t>Gut Check</t>
    </r>
  </si>
  <si>
    <r>
      <rPr>
        <rFont val="Roboto"/>
        <b/>
        <color rgb="FFFFBDE3"/>
        <sz val="10.0"/>
      </rPr>
      <t xml:space="preserve">02 Inspect / </t>
    </r>
    <r>
      <rPr>
        <rFont val="Roboto"/>
        <color rgb="FFFFBDE3"/>
        <sz val="10.0"/>
      </rPr>
      <t>Gut Check</t>
    </r>
  </si>
  <si>
    <r>
      <rPr>
        <rFont val="Roboto"/>
        <b/>
        <color rgb="FFFFBDE3"/>
        <sz val="10.0"/>
      </rPr>
      <t xml:space="preserve">02 Inspect / </t>
    </r>
    <r>
      <rPr>
        <rFont val="Roboto"/>
        <color rgb="FFFFBDE3"/>
        <sz val="10.0"/>
      </rPr>
      <t>Gut Check</t>
    </r>
  </si>
  <si>
    <r>
      <rPr>
        <rFont val="Roboto"/>
        <b/>
        <color rgb="FFFFBDE3"/>
        <sz val="10.0"/>
      </rPr>
      <t xml:space="preserve">02 Inspect / </t>
    </r>
    <r>
      <rPr>
        <rFont val="Roboto"/>
        <color rgb="FFFFBDE3"/>
        <sz val="10.0"/>
      </rPr>
      <t>Future Plans</t>
    </r>
  </si>
  <si>
    <r>
      <rPr>
        <rFont val="Roboto"/>
        <b/>
        <color rgb="FFFFBDE3"/>
        <sz val="10.0"/>
      </rPr>
      <t xml:space="preserve">02 Inspect / </t>
    </r>
    <r>
      <rPr>
        <rFont val="Roboto"/>
        <color rgb="FFFFBDE3"/>
        <sz val="10.0"/>
      </rPr>
      <t>Future Plans</t>
    </r>
  </si>
  <si>
    <r>
      <rPr>
        <rFont val="Roboto"/>
        <b/>
        <color rgb="FFFFBDE3"/>
        <sz val="10.0"/>
      </rPr>
      <t xml:space="preserve">02 Inspect / </t>
    </r>
    <r>
      <rPr>
        <rFont val="Roboto"/>
        <color rgb="FFFFBDE3"/>
        <sz val="10.0"/>
      </rPr>
      <t>Future Plans</t>
    </r>
  </si>
  <si>
    <r>
      <rPr>
        <rFont val="Roboto"/>
        <b/>
        <color rgb="FFFFBDE3"/>
        <sz val="10.0"/>
      </rPr>
      <t xml:space="preserve">02 Inspect / </t>
    </r>
    <r>
      <rPr>
        <rFont val="Roboto"/>
        <color rgb="FFFFBDE3"/>
        <sz val="10.0"/>
      </rPr>
      <t>Future Plans</t>
    </r>
  </si>
  <si>
    <r>
      <rPr>
        <rFont val="Roboto"/>
        <b/>
        <color rgb="FFFFBDE3"/>
        <sz val="10.0"/>
      </rPr>
      <t xml:space="preserve">02 Inspect / </t>
    </r>
    <r>
      <rPr>
        <rFont val="Roboto"/>
        <color rgb="FFFFBDE3"/>
        <sz val="10.0"/>
      </rPr>
      <t>Future Plans</t>
    </r>
  </si>
  <si>
    <t>Perspective: The specific role of the agent engaging with the data or model card</t>
  </si>
  <si>
    <r>
      <rPr>
        <rFont val="Roboto"/>
        <b/>
        <color rgb="FF434343"/>
        <sz val="10.0"/>
      </rPr>
      <t xml:space="preserve">Lens: </t>
    </r>
    <r>
      <rPr>
        <rFont val="Roboto"/>
        <color rgb="FF434343"/>
        <sz val="10.0"/>
      </rPr>
      <t xml:space="preserve">What the perspective ultimately wants to accomplish to fulfill a higher level need. This is not time bound and can happen across products. 
</t>
    </r>
    <r>
      <rPr>
        <rFont val="Roboto"/>
        <b/>
        <color rgb="FF434343"/>
        <sz val="10.0"/>
      </rPr>
      <t>Clustered + Processed  --&gt; Brainstorm</t>
    </r>
  </si>
  <si>
    <r>
      <rPr>
        <rFont val="Roboto"/>
        <b/>
        <color rgb="FF434343"/>
        <sz val="10.0"/>
      </rPr>
      <t>Scopes:</t>
    </r>
    <r>
      <rPr>
        <rFont val="Roboto"/>
        <color rgb="FF434343"/>
        <sz val="10.0"/>
      </rPr>
      <t xml:space="preserve"> A specific step to completing the Goal. Often times they are shorter in duration and have a clear end state.
</t>
    </r>
    <r>
      <rPr>
        <rFont val="Roboto"/>
        <b/>
        <color rgb="FF434343"/>
        <sz val="10.0"/>
      </rPr>
      <t>Clustered + Processed  --&gt; Brainstorm</t>
    </r>
  </si>
  <si>
    <t>OFTEn - Assign an often category to each scope</t>
  </si>
  <si>
    <t>How helpful is this scope to the agents to meet their Goals. This helps your team focus on which scopes are the most important.</t>
  </si>
  <si>
    <t>This scope is directed towards</t>
  </si>
  <si>
    <t>How easy or difficult it is for users to complete the Tasks of the Journey. Use issues identified in your Inspections and other sources (e.g. Bugs) to inform the Health Score.</t>
  </si>
  <si>
    <t>They type of risk associated with this scope</t>
  </si>
  <si>
    <t>The severity of this risk, weighed against it's likelihood.</t>
  </si>
  <si>
    <t xml:space="preserve">Link to reports and Scorecards that provide more detail of the Risk, Health Score and what to improve if it is At Risk or Unhealthy. </t>
  </si>
  <si>
    <t>Come together as a team to decide what the most trustworthy source on answer will be. We gave you some suggestions, but feel free to adapt.</t>
  </si>
  <si>
    <t>Routinely update progress on the Plan and link updates ine next few columns (PRDs, Designs, etc.) Best to make this part of your OKR process.</t>
  </si>
  <si>
    <t xml:space="preserve">Link to PRDs that are aimed at improving the CUJ. </t>
  </si>
  <si>
    <t>Links to the latest exprience (walk through, mocks, prototypes, etc.).</t>
  </si>
  <si>
    <t>Links to any Bugs that have been filed.</t>
  </si>
  <si>
    <t>Link to the OKRs that articulate what you trying to solve</t>
  </si>
  <si>
    <t>Ldaps of the XFN Team that is responsible for CUJ. All CUJs should have owners regardless of Health Status.</t>
  </si>
  <si>
    <t>Data Scientist</t>
  </si>
  <si>
    <t>About the nature of the dataset</t>
  </si>
  <si>
    <t>What is the structure of the table?</t>
  </si>
  <si>
    <t>Facts</t>
  </si>
  <si>
    <t>Actionability / Demonstration</t>
  </si>
  <si>
    <t>Moderately helpful</t>
  </si>
  <si>
    <t>Healthy</t>
  </si>
  <si>
    <t>Tech + Use</t>
  </si>
  <si>
    <t>Human only answer</t>
  </si>
  <si>
    <t>Epidemiologist</t>
  </si>
  <si>
    <t>ML Researcher</t>
  </si>
  <si>
    <t>How many features are in the dataset?</t>
  </si>
  <si>
    <t>Slightly helpful</t>
  </si>
  <si>
    <t>Automatically calculated answer</t>
  </si>
  <si>
    <t>Public Health Official</t>
  </si>
  <si>
    <t>Archivist</t>
  </si>
  <si>
    <t>Are there any correlations in the features?</t>
  </si>
  <si>
    <t>Considerations</t>
  </si>
  <si>
    <t>Extremely helpful</t>
  </si>
  <si>
    <t>Medium Risk</t>
  </si>
  <si>
    <t>Combination answer</t>
  </si>
  <si>
    <t>About the funding of the dataset</t>
  </si>
  <si>
    <t>How was the dataset funded?</t>
  </si>
  <si>
    <t>Ownership</t>
  </si>
  <si>
    <t>Who funded it?</t>
  </si>
  <si>
    <t>Very helpful</t>
  </si>
  <si>
    <t>Low Risk</t>
  </si>
  <si>
    <t>Were there any conditions to the funding?</t>
  </si>
  <si>
    <t>System Level</t>
  </si>
  <si>
    <t>High Risk</t>
  </si>
  <si>
    <t>If this dataset represents groups of interest</t>
  </si>
  <si>
    <t>Is this human data?</t>
  </si>
  <si>
    <t>Source</t>
  </si>
  <si>
    <t>Which groups are represented in the dataset?</t>
  </si>
  <si>
    <t>Representation</t>
  </si>
  <si>
    <t>Why were these specific groups represented?</t>
  </si>
  <si>
    <t>Rationale</t>
  </si>
  <si>
    <t>Other</t>
  </si>
  <si>
    <t>Use by Self</t>
  </si>
  <si>
    <t>Versions</t>
  </si>
  <si>
    <t>Procedures</t>
  </si>
  <si>
    <t>Validity</t>
  </si>
  <si>
    <t>None of the above</t>
  </si>
  <si>
    <t>Calculators Test Bed</t>
  </si>
  <si>
    <r>
      <rPr>
        <rFont val="Roboto"/>
        <b/>
        <color rgb="FFFFBDE3"/>
        <sz val="10.0"/>
      </rPr>
      <t>01 Ask /</t>
    </r>
    <r>
      <rPr>
        <rFont val="Roboto"/>
        <color rgb="FFFFBDE3"/>
        <sz val="10.0"/>
      </rPr>
      <t xml:space="preserve"> Lenses &amp; Scopes</t>
    </r>
  </si>
  <si>
    <r>
      <rPr>
        <rFont val="Roboto"/>
        <b/>
        <color rgb="FFFFBDE3"/>
        <sz val="10.0"/>
      </rPr>
      <t>01 Ask /</t>
    </r>
    <r>
      <rPr>
        <rFont val="Roboto"/>
        <color rgb="FFFFBDE3"/>
        <sz val="10.0"/>
      </rPr>
      <t xml:space="preserve"> Lenses &amp; Scopes</t>
    </r>
  </si>
  <si>
    <r>
      <rPr>
        <rFont val="Roboto"/>
        <b/>
        <color rgb="FFFFBDE3"/>
        <sz val="10.0"/>
      </rPr>
      <t>01 Ask /</t>
    </r>
    <r>
      <rPr>
        <rFont val="Roboto"/>
        <color rgb="FFFFBDE3"/>
        <sz val="10.0"/>
      </rPr>
      <t xml:space="preserve"> Lenses &amp; Scopes</t>
    </r>
  </si>
  <si>
    <r>
      <rPr>
        <rFont val="Roboto"/>
        <b/>
        <color rgb="FFFFBDE3"/>
        <sz val="10.0"/>
      </rPr>
      <t>02 Inspect /</t>
    </r>
    <r>
      <rPr>
        <rFont val="Roboto"/>
        <color rgb="FFFFBDE3"/>
        <sz val="10.0"/>
      </rPr>
      <t xml:space="preserve"> Gut Check</t>
    </r>
  </si>
  <si>
    <r>
      <rPr>
        <rFont val="Roboto"/>
        <b/>
        <color rgb="FF434343"/>
        <sz val="10.0"/>
      </rPr>
      <t xml:space="preserve">Lens: </t>
    </r>
    <r>
      <rPr>
        <rFont val="Roboto"/>
        <color rgb="FF434343"/>
        <sz val="10.0"/>
      </rPr>
      <t xml:space="preserve">What the perspective ultimately wants to accomplish to fulfill a higher level need. This is not time bound and can happen across products. </t>
    </r>
  </si>
  <si>
    <r>
      <rPr>
        <rFont val="Roboto"/>
        <b/>
        <color rgb="FF434343"/>
        <sz val="10.0"/>
      </rPr>
      <t>Scopes:</t>
    </r>
    <r>
      <rPr>
        <rFont val="Roboto"/>
        <color rgb="FF434343"/>
        <sz val="10.0"/>
      </rPr>
      <t xml:space="preserve"> A specific step to completing the Goal. Often times they are shorter in duration and have a clear end state.
</t>
    </r>
  </si>
  <si>
    <t>N=1</t>
  </si>
  <si>
    <t>Clustered + Processed  --&gt; Brainstorm</t>
  </si>
  <si>
    <t>description + Instructions</t>
  </si>
  <si>
    <t>Tight Coupling</t>
  </si>
  <si>
    <t>Primary</t>
  </si>
  <si>
    <t>Medium Coupling</t>
  </si>
  <si>
    <t>Loose Coupling</t>
  </si>
  <si>
    <t>Coupling defininition:</t>
  </si>
  <si>
    <t>T</t>
  </si>
  <si>
    <t>Tight, values can be copie pasted without much modification into a data card.</t>
  </si>
  <si>
    <t>M</t>
  </si>
  <si>
    <t>Medium, values will need to be rewritten to fit a data card.</t>
  </si>
  <si>
    <t>L</t>
  </si>
  <si>
    <t>Loose, values will need some work or additional information to fit a data card.</t>
  </si>
  <si>
    <t xml:space="preserve"> </t>
  </si>
  <si>
    <t>Origins: description + Instructions</t>
  </si>
  <si>
    <t>Facts: description + Instructions</t>
  </si>
  <si>
    <t>Transformations: description + Instructions</t>
  </si>
  <si>
    <t>Experience: description + Instructions</t>
  </si>
  <si>
    <t>N=1: description + Instructions</t>
  </si>
  <si>
    <t>Origins vs. Facts</t>
  </si>
  <si>
    <t xml:space="preserve">Origins </t>
  </si>
  <si>
    <t>Fact</t>
  </si>
  <si>
    <r>
      <rPr>
        <rFont val="Google Sans"/>
        <b/>
        <sz val="14.0"/>
      </rPr>
      <t xml:space="preserve">Small multiples visualization 
</t>
    </r>
    <r>
      <rPr>
        <rFont val="Google Sans"/>
        <b val="0"/>
        <sz val="12.0"/>
      </rPr>
      <t>(Pairwise count breakdown)</t>
    </r>
  </si>
  <si>
    <t>Coupling</t>
  </si>
  <si>
    <r>
      <rPr>
        <rFont val="Google Sans"/>
        <b/>
        <sz val="14.0"/>
      </rPr>
      <t xml:space="preserve">Coupling Matrix 
</t>
    </r>
    <r>
      <rPr>
        <rFont val="Google Sans"/>
        <b val="0"/>
        <sz val="12.0"/>
      </rPr>
      <t>(Pairwise count)</t>
    </r>
  </si>
  <si>
    <t>coupling count</t>
  </si>
  <si>
    <t>Fake Data</t>
  </si>
  <si>
    <t>Fake data:</t>
  </si>
  <si>
    <r>
      <rPr>
        <rFont val="Google Sans"/>
        <b/>
        <sz val="14.0"/>
      </rPr>
      <t xml:space="preserve">Small multiples visualization 
</t>
    </r>
    <r>
      <rPr>
        <rFont val="Google Sans"/>
        <b val="0"/>
        <sz val="12.0"/>
      </rPr>
      <t>(Pairwise count breakdown)</t>
    </r>
  </si>
  <si>
    <r>
      <rPr>
        <rFont val="Google Sans"/>
        <b/>
        <sz val="14.0"/>
      </rPr>
      <t xml:space="preserve">Coupling Matrix 
</t>
    </r>
    <r>
      <rPr>
        <rFont val="Google Sans"/>
        <b val="0"/>
        <sz val="12.0"/>
      </rPr>
      <t>(Pairwise count)</t>
    </r>
  </si>
  <si>
    <t>Official CUJ Tracker (Example from Classroom)</t>
  </si>
  <si>
    <t>As a [enter User Type], I want to...</t>
  </si>
  <si>
    <t>so I...</t>
  </si>
  <si>
    <r>
      <rPr>
        <rFont val="Roboto"/>
        <b/>
        <color rgb="FF434343"/>
        <sz val="9.0"/>
      </rPr>
      <t xml:space="preserve">Goals: </t>
    </r>
    <r>
      <rPr>
        <rFont val="Roboto"/>
        <color rgb="FF434343"/>
        <sz val="9.0"/>
      </rPr>
      <t xml:space="preserve">What the user ultimately wants to accomplish to fulfill a higher level need. This is not time bound and can happen across products. </t>
    </r>
  </si>
  <si>
    <r>
      <rPr>
        <rFont val="Roboto"/>
        <b/>
        <color rgb="FF434343"/>
        <sz val="9.0"/>
      </rPr>
      <t>Tasks:</t>
    </r>
    <r>
      <rPr>
        <rFont val="Roboto"/>
        <color rgb="FF434343"/>
        <sz val="9.0"/>
      </rPr>
      <t xml:space="preserve"> A specific step to completing the Goal. Often times they are shorter in duration and have a clear end state.</t>
    </r>
  </si>
  <si>
    <t>How much users feel our product is helping them meet their Goals. This helps your team focus on which CUJs are the most important.</t>
  </si>
  <si>
    <t xml:space="preserve">Link to reports and Scorecards that provide more detail of the Health Score and what to improve if it is At Risk or Unhealthy. </t>
  </si>
  <si>
    <t>Come together as a team to decide what to do about CUJs that could be better. We gave you some suggestions, but feel free to adapt.</t>
  </si>
  <si>
    <t>Prepare posts (e.g. assignments, announcements) in advance</t>
  </si>
  <si>
    <t>create a post</t>
  </si>
  <si>
    <t>schedule a post</t>
  </si>
  <si>
    <t>At Risk</t>
  </si>
  <si>
    <t>Fix identified issues (bugs)</t>
  </si>
  <si>
    <t>Key Issues fixed</t>
  </si>
  <si>
    <t>make sure the post was sent</t>
  </si>
  <si>
    <t>Unhealthy</t>
  </si>
  <si>
    <t>Redesign current experience</t>
  </si>
  <si>
    <t>Writing PRD</t>
  </si>
  <si>
    <t>Organize posts (e.g. assignments, announcements) so that students can easily find what they need</t>
  </si>
  <si>
    <t>Create a class topic</t>
  </si>
  <si>
    <t>Change the order to display the most important post</t>
  </si>
  <si>
    <t>No plan</t>
  </si>
  <si>
    <t>Edit the post so it look professional</t>
  </si>
  <si>
    <t>Testing concept/design</t>
  </si>
  <si>
    <t>Create and distribute class work and resources</t>
  </si>
  <si>
    <t>create an assignment</t>
  </si>
  <si>
    <t>assign an assignment to the class</t>
  </si>
  <si>
    <t>create a quiz</t>
  </si>
  <si>
    <t>assign quizzes to be completed</t>
  </si>
  <si>
    <t>Give students the opportunity to revise / iterate on their work</t>
  </si>
  <si>
    <t>return work with comments</t>
  </si>
  <si>
    <t>Explore new designs</t>
  </si>
  <si>
    <t>check for questions by students</t>
  </si>
  <si>
    <t>check if work was submitted</t>
  </si>
  <si>
    <t>Give students rich feedback</t>
  </si>
  <si>
    <t>Make comments in assignments</t>
  </si>
  <si>
    <t>Make sure comments cannot be seen by others</t>
  </si>
  <si>
    <t>Chat with students about homework</t>
  </si>
  <si>
    <t>Identify students who are struggling</t>
  </si>
  <si>
    <t>Identify students with lowest grades</t>
  </si>
  <si>
    <t>Investigate if it is due to missinng assignments</t>
  </si>
  <si>
    <t xml:space="preserve">Post a message to the student </t>
  </si>
  <si>
    <t>Set a time to talk with student</t>
  </si>
  <si>
    <t>Grade and return student work</t>
  </si>
  <si>
    <t>Sort which assignment need to be graded first</t>
  </si>
  <si>
    <t>Download each assignment form students</t>
  </si>
  <si>
    <t>Enter grades for each assignment</t>
  </si>
  <si>
    <t>Share work with each student.</t>
  </si>
  <si>
    <t>Encourage in-class participation</t>
  </si>
  <si>
    <t>Post a poll to the class</t>
  </si>
  <si>
    <t>Setup a chat group about the poll</t>
  </si>
  <si>
    <t>Reuse posts (e.g. assignments, announcements) across classes</t>
  </si>
  <si>
    <t>Copy an assignment from one class to another</t>
  </si>
  <si>
    <t>Post an assignment to 2 or more classes</t>
  </si>
  <si>
    <t>Get the right students in my class</t>
  </si>
  <si>
    <t>Add students to the roster</t>
  </si>
  <si>
    <t>Remove past students to the roster</t>
  </si>
  <si>
    <t>Give course number to students</t>
  </si>
  <si>
    <t>Gain approval from Admin</t>
  </si>
  <si>
    <t>Executive Summary of CUJs</t>
  </si>
  <si>
    <t>Total CUJs</t>
  </si>
  <si>
    <t>Healthy CUJs</t>
  </si>
  <si>
    <t>CUJs to At Risk</t>
  </si>
  <si>
    <t>Unhealthy CUJs</t>
  </si>
  <si>
    <t>Unhealthy CUJs with No Plan</t>
  </si>
  <si>
    <t>Top CUJs to Improve</t>
  </si>
  <si>
    <t>#1</t>
  </si>
  <si>
    <t>Schedule a post</t>
  </si>
  <si>
    <t>#2</t>
  </si>
  <si>
    <t>Make sure the post was sent</t>
  </si>
  <si>
    <t>#3</t>
  </si>
  <si>
    <t>#4</t>
  </si>
  <si>
    <t>#5</t>
  </si>
  <si>
    <t>Return work with comments</t>
  </si>
  <si>
    <t>#6</t>
  </si>
  <si>
    <t>Check for questions by students</t>
  </si>
  <si>
    <t>#7</t>
  </si>
  <si>
    <t>#8</t>
  </si>
  <si>
    <t>Investigate if it is due to missing assignments</t>
  </si>
  <si>
    <t>#9</t>
  </si>
  <si>
    <t>#10</t>
  </si>
  <si>
    <t>#11</t>
  </si>
  <si>
    <t>#12</t>
  </si>
  <si>
    <t>#13</t>
  </si>
  <si>
    <t>#14</t>
  </si>
  <si>
    <t>#15</t>
  </si>
  <si>
    <t>#16</t>
  </si>
  <si>
    <t>#17</t>
  </si>
  <si>
    <t>#18</t>
  </si>
  <si>
    <t>#19</t>
  </si>
  <si>
    <t>#20</t>
  </si>
  <si>
    <t>#21</t>
  </si>
</sst>
</file>

<file path=xl/styles.xml><?xml version="1.0" encoding="utf-8"?>
<styleSheet xmlns="http://schemas.openxmlformats.org/spreadsheetml/2006/main" xmlns:x14ac="http://schemas.microsoft.com/office/spreadsheetml/2009/9/ac" xmlns:mc="http://schemas.openxmlformats.org/markup-compatibility/2006">
  <fonts count="94">
    <font>
      <sz val="10.0"/>
      <color rgb="FF000000"/>
      <name val="Arial"/>
    </font>
    <font>
      <sz val="14.0"/>
      <color rgb="FF425354"/>
      <name val="Space Grotesk"/>
    </font>
    <font/>
    <font>
      <u/>
      <color rgb="FF3C4043"/>
      <name val="Inter"/>
    </font>
    <font>
      <sz val="28.0"/>
      <color rgb="FF000000"/>
      <name val="Rubik"/>
    </font>
    <font>
      <sz val="24.0"/>
      <color rgb="FFFF0092"/>
      <name val="Rubik"/>
    </font>
    <font>
      <sz val="24.0"/>
      <color rgb="FFFF7800"/>
      <name val="Rubik"/>
    </font>
    <font>
      <sz val="12.0"/>
      <color rgb="FF434343"/>
      <name val="Inter"/>
    </font>
    <font>
      <sz val="12.0"/>
      <color rgb="FF3C4043"/>
      <name val="Inter"/>
    </font>
    <font>
      <sz val="16.0"/>
      <color rgb="FF434343"/>
      <name val="Inter"/>
    </font>
    <font>
      <b/>
      <sz val="24.0"/>
      <color rgb="FF000000"/>
      <name val="Google Sans"/>
    </font>
    <font>
      <sz val="16.0"/>
      <color rgb="FFFF5FBB"/>
      <name val="Inter"/>
    </font>
    <font>
      <sz val="16.0"/>
      <color rgb="FF99EA0C"/>
      <name val="Inter"/>
    </font>
    <font>
      <sz val="16.0"/>
      <color rgb="FFFF6554"/>
      <name val="Inter"/>
    </font>
    <font>
      <sz val="16.0"/>
      <color rgb="FFF1F7F7"/>
      <name val="Inter"/>
    </font>
    <font>
      <sz val="10.0"/>
      <color rgb="FF090B0C"/>
      <name val="Inter"/>
    </font>
    <font>
      <sz val="10.0"/>
      <color rgb="FF666666"/>
      <name val="Inter"/>
    </font>
    <font>
      <sz val="28.0"/>
      <name val="Rubik"/>
    </font>
    <font>
      <b/>
      <sz val="24.0"/>
      <color rgb="FF434343"/>
      <name val="Google Sans"/>
    </font>
    <font>
      <sz val="10.0"/>
      <color rgb="FF434343"/>
      <name val="Inter"/>
    </font>
    <font>
      <sz val="12.0"/>
      <color rgb="FF3C4043"/>
      <name val="Space Grotesk"/>
    </font>
    <font>
      <sz val="11.0"/>
      <color rgb="FF3C4043"/>
      <name val="Inter"/>
    </font>
    <font>
      <u/>
      <sz val="11.0"/>
      <color rgb="FF1155CC"/>
      <name val="Inter"/>
    </font>
    <font>
      <sz val="12.0"/>
      <color rgb="FF090B0C"/>
      <name val="Inter"/>
    </font>
    <font>
      <sz val="10.0"/>
      <color rgb="FF425354"/>
      <name val="Inter"/>
    </font>
    <font>
      <sz val="12.0"/>
      <color rgb="FF666666"/>
      <name val="Inter"/>
    </font>
    <font>
      <sz val="14.0"/>
      <color rgb="FFF1F7F7"/>
      <name val="Inter"/>
    </font>
    <font>
      <color rgb="FF3C4043"/>
      <name val="Inter"/>
    </font>
    <font>
      <sz val="14.0"/>
      <color rgb="FF425354"/>
      <name val="Roboto Mono"/>
    </font>
    <font>
      <b/>
      <sz val="16.0"/>
      <color rgb="FFFF7800"/>
      <name val="Rubik"/>
    </font>
    <font>
      <sz val="16.0"/>
      <color rgb="FFCDDCDC"/>
      <name val="Inter"/>
    </font>
    <font>
      <sz val="10.0"/>
      <color rgb="FF434343"/>
      <name val="Rubik"/>
    </font>
    <font>
      <sz val="14.0"/>
      <color rgb="FFFF7800"/>
      <name val="Rubik"/>
    </font>
    <font>
      <sz val="11.0"/>
      <color rgb="FF666666"/>
      <name val="Inter"/>
    </font>
    <font>
      <sz val="12.0"/>
      <color rgb="FF666666"/>
      <name val="Roboto"/>
    </font>
    <font>
      <sz val="12.0"/>
      <color rgb="FF425354"/>
      <name val="Roboto"/>
    </font>
    <font>
      <sz val="24.0"/>
      <color rgb="FFCDDCDC"/>
      <name val="Roboto Mono"/>
    </font>
    <font>
      <sz val="12.0"/>
      <color rgb="FF090B0C"/>
      <name val="Space Grotesk"/>
    </font>
    <font>
      <sz val="12.0"/>
      <color rgb="FF232629"/>
      <name val="Inter"/>
    </font>
    <font>
      <b/>
      <sz val="12.0"/>
      <color rgb="FF232629"/>
      <name val="Inter"/>
    </font>
    <font>
      <sz val="11.0"/>
      <color rgb="FFCDDCDC"/>
      <name val="Inter"/>
    </font>
    <font>
      <sz val="14.0"/>
      <color rgb="FFFF7800"/>
      <name val="Space Grotesk"/>
    </font>
    <font>
      <b/>
      <sz val="16.0"/>
      <color rgb="FFCDDCDC"/>
      <name val="Inter"/>
    </font>
    <font>
      <sz val="16.0"/>
      <color rgb="FFFF7800"/>
      <name val="Inter"/>
    </font>
    <font>
      <sz val="16.0"/>
      <color rgb="FFFF7800"/>
      <name val="Space Grotesk"/>
    </font>
    <font>
      <sz val="12.0"/>
      <color rgb="FFCDDCDC"/>
      <name val="Inter"/>
    </font>
    <font>
      <sz val="16.0"/>
      <color rgb="FFF1F7F7"/>
      <name val="Rubik"/>
    </font>
    <font>
      <sz val="18.0"/>
      <color rgb="FFF1F7F7"/>
      <name val="Space Grotesk"/>
    </font>
    <font>
      <sz val="14.0"/>
      <color rgb="FFFF7800"/>
      <name val="Inter"/>
    </font>
    <font>
      <sz val="14.0"/>
      <color rgb="FFF1F7F7"/>
      <name val="Space Grotesk"/>
    </font>
    <font>
      <b/>
      <sz val="10.0"/>
      <color rgb="FF434343"/>
      <name val="Google Sans"/>
    </font>
    <font>
      <b/>
      <sz val="11.0"/>
      <color rgb="FF434343"/>
      <name val="Google Sans"/>
    </font>
    <font>
      <b/>
      <sz val="24.0"/>
      <color rgb="FF434343"/>
      <name val="Roboto Mono"/>
    </font>
    <font>
      <b/>
      <sz val="18.0"/>
      <color rgb="FF000000"/>
      <name val="Google Sans"/>
    </font>
    <font>
      <b/>
      <sz val="20.0"/>
      <color rgb="FF434343"/>
      <name val="Google Sans"/>
    </font>
    <font>
      <sz val="14.0"/>
      <color rgb="FF1967D2"/>
      <name val="Google Sans"/>
    </font>
    <font>
      <sz val="14.0"/>
      <color rgb="FFF29900"/>
      <name val="Google Sans"/>
    </font>
    <font>
      <sz val="14.0"/>
      <color rgb="FFFFFFFF"/>
      <name val="Google Sans"/>
    </font>
    <font>
      <sz val="10.0"/>
      <color rgb="FFFFBDE3"/>
      <name val="Roboto"/>
    </font>
    <font>
      <sz val="10.0"/>
      <color rgb="FF434343"/>
      <name val="Roboto"/>
    </font>
    <font>
      <sz val="11.0"/>
      <color rgb="FF666666"/>
      <name val="Roboto"/>
    </font>
    <font>
      <b/>
      <sz val="8.0"/>
      <color rgb="FF000000"/>
      <name val="Google Sans"/>
    </font>
    <font>
      <b/>
      <sz val="8.0"/>
      <color rgb="FF434343"/>
      <name val="Google Sans"/>
    </font>
    <font>
      <sz val="8.0"/>
      <color rgb="FFFFFFFF"/>
      <name val="Google Sans"/>
    </font>
    <font>
      <sz val="8.0"/>
      <color rgb="FFFFBDE3"/>
      <name val="Roboto"/>
    </font>
    <font>
      <sz val="8.0"/>
      <color rgb="FF434343"/>
      <name val="Roboto"/>
    </font>
    <font>
      <b/>
      <sz val="10.0"/>
      <color rgb="FF434343"/>
      <name val="Roboto"/>
    </font>
    <font>
      <b/>
      <sz val="8.0"/>
      <color rgb="FF434343"/>
      <name val="Roboto"/>
    </font>
    <font>
      <sz val="10.0"/>
      <color rgb="FF666666"/>
      <name val="Roboto"/>
    </font>
    <font>
      <sz val="8.0"/>
      <color rgb="FF666666"/>
      <name val="Roboto"/>
    </font>
    <font>
      <sz val="10.0"/>
    </font>
    <font>
      <b/>
      <sz val="12.0"/>
      <name val="&quot;Google Sans&quot;"/>
    </font>
    <font>
      <name val="Arial"/>
    </font>
    <font>
      <b/>
      <sz val="9.0"/>
      <name val="&quot;Google Sans&quot;"/>
    </font>
    <font>
      <sz val="9.0"/>
      <name val="&quot;Google Sans&quot;"/>
    </font>
    <font>
      <color rgb="FF000000"/>
      <name val="Arial"/>
    </font>
    <font>
      <b/>
      <sz val="14.0"/>
      <name val="Google Sans"/>
    </font>
    <font>
      <b/>
      <name val="Google Sans"/>
    </font>
    <font>
      <b/>
    </font>
    <font>
      <sz val="10.0"/>
      <color rgb="FF434343"/>
      <name val="Google Sans"/>
    </font>
    <font>
      <name val="Google Sans"/>
    </font>
    <font>
      <sz val="10.0"/>
      <name val="Google Sans"/>
    </font>
    <font>
      <sz val="10.0"/>
      <color rgb="FF000000"/>
      <name val="Google Sans"/>
    </font>
    <font>
      <sz val="11.0"/>
      <color rgb="FF000000"/>
      <name val="Inconsolata"/>
    </font>
    <font>
      <sz val="9.0"/>
      <color rgb="FF434343"/>
      <name val="Roboto"/>
    </font>
    <font>
      <sz val="12.0"/>
      <color rgb="FFFFFFFF"/>
      <name val="Roboto"/>
    </font>
    <font>
      <u/>
      <sz val="12.0"/>
      <color rgb="FF666666"/>
      <name val="Roboto"/>
    </font>
    <font>
      <u/>
      <sz val="12.0"/>
      <color rgb="FF666666"/>
      <name val="Roboto"/>
    </font>
    <font>
      <sz val="12.0"/>
      <color rgb="FFFFFFFF"/>
      <name val="Google Sans"/>
    </font>
    <font>
      <sz val="12.0"/>
      <color rgb="FF434343"/>
      <name val="Roboto"/>
    </font>
    <font>
      <b/>
      <sz val="35.0"/>
      <color rgb="FF434343"/>
      <name val="Google Sans"/>
    </font>
    <font>
      <b/>
      <sz val="34.0"/>
      <color rgb="FF434343"/>
      <name val="Google Sans"/>
    </font>
    <font>
      <b/>
      <sz val="18.0"/>
      <color rgb="FF434343"/>
      <name val="Google Sans"/>
    </font>
    <font>
      <sz val="12.0"/>
      <color rgb="FF434343"/>
      <name val="Google Sans"/>
    </font>
  </fonts>
  <fills count="29">
    <fill>
      <patternFill patternType="none"/>
    </fill>
    <fill>
      <patternFill patternType="lightGray"/>
    </fill>
    <fill>
      <patternFill patternType="solid">
        <fgColor rgb="FFFFF3FA"/>
        <bgColor rgb="FFFFF3FA"/>
      </patternFill>
    </fill>
    <fill>
      <patternFill patternType="solid">
        <fgColor rgb="FFFFF2E7"/>
        <bgColor rgb="FFFFF2E7"/>
      </patternFill>
    </fill>
    <fill>
      <patternFill patternType="solid">
        <fgColor rgb="FFFFFFFF"/>
        <bgColor rgb="FFFFFFFF"/>
      </patternFill>
    </fill>
    <fill>
      <patternFill patternType="solid">
        <fgColor rgb="FFD9D9D9"/>
        <bgColor rgb="FFD9D9D9"/>
      </patternFill>
    </fill>
    <fill>
      <patternFill patternType="solid">
        <fgColor rgb="FF090B0C"/>
        <bgColor rgb="FF090B0C"/>
      </patternFill>
    </fill>
    <fill>
      <patternFill patternType="solid">
        <fgColor rgb="FFF1F7F7"/>
        <bgColor rgb="FFF1F7F7"/>
      </patternFill>
    </fill>
    <fill>
      <patternFill patternType="solid">
        <fgColor rgb="FFF3F9F9"/>
        <bgColor rgb="FFF3F9F9"/>
      </patternFill>
    </fill>
    <fill>
      <patternFill patternType="solid">
        <fgColor rgb="FF232629"/>
        <bgColor rgb="FF232629"/>
      </patternFill>
    </fill>
    <fill>
      <patternFill patternType="solid">
        <fgColor rgb="FF3C4043"/>
        <bgColor rgb="FF3C4043"/>
      </patternFill>
    </fill>
    <fill>
      <patternFill patternType="solid">
        <fgColor rgb="FFF3F3F3"/>
        <bgColor rgb="FFF3F3F3"/>
      </patternFill>
    </fill>
    <fill>
      <patternFill patternType="solid">
        <fgColor rgb="FFEFEFEF"/>
        <bgColor rgb="FFEFEFEF"/>
      </patternFill>
    </fill>
    <fill>
      <patternFill patternType="solid">
        <fgColor rgb="FFE8F0FE"/>
        <bgColor rgb="FFE8F0FE"/>
      </patternFill>
    </fill>
    <fill>
      <patternFill patternType="solid">
        <fgColor rgb="FFFFBDE3"/>
        <bgColor rgb="FFFFBDE3"/>
      </patternFill>
    </fill>
    <fill>
      <patternFill patternType="solid">
        <fgColor rgb="FFFEF7E0"/>
        <bgColor rgb="FFFEF7E0"/>
      </patternFill>
    </fill>
    <fill>
      <patternFill patternType="solid">
        <fgColor rgb="FFD9D2E9"/>
        <bgColor rgb="FFD9D2E9"/>
      </patternFill>
    </fill>
    <fill>
      <patternFill patternType="solid">
        <fgColor rgb="FFFF0092"/>
        <bgColor rgb="FFFF0092"/>
      </patternFill>
    </fill>
    <fill>
      <patternFill patternType="solid">
        <fgColor rgb="FF434343"/>
        <bgColor rgb="FF434343"/>
      </patternFill>
    </fill>
    <fill>
      <patternFill patternType="solid">
        <fgColor rgb="FFF29900"/>
        <bgColor rgb="FFF29900"/>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6AA84F"/>
        <bgColor rgb="FF6AA84F"/>
      </patternFill>
    </fill>
    <fill>
      <patternFill patternType="solid">
        <fgColor rgb="FFF1C232"/>
        <bgColor rgb="FFF1C232"/>
      </patternFill>
    </fill>
    <fill>
      <patternFill patternType="solid">
        <fgColor rgb="FFCC4125"/>
        <bgColor rgb="FFCC4125"/>
      </patternFill>
    </fill>
    <fill>
      <patternFill patternType="solid">
        <fgColor rgb="FF34A853"/>
        <bgColor rgb="FF34A853"/>
      </patternFill>
    </fill>
    <fill>
      <patternFill patternType="solid">
        <fgColor rgb="FFFBBC04"/>
        <bgColor rgb="FFFBBC04"/>
      </patternFill>
    </fill>
    <fill>
      <patternFill patternType="solid">
        <fgColor rgb="FFEA4335"/>
        <bgColor rgb="FFEA4335"/>
      </patternFill>
    </fill>
  </fills>
  <borders count="49">
    <border/>
    <border>
      <right style="thin">
        <color rgb="FFFFFFFF"/>
      </right>
    </border>
    <border>
      <left style="thin">
        <color rgb="FFFFFFFF"/>
      </left>
      <top style="thin">
        <color rgb="FFFFFFFF"/>
      </top>
    </border>
    <border>
      <top style="thin">
        <color rgb="FFFFFFFF"/>
      </top>
    </border>
    <border>
      <right style="thin">
        <color rgb="FF6F8D8E"/>
      </right>
    </border>
    <border>
      <bottom style="thin">
        <color rgb="FFFFFFFF"/>
      </bottom>
    </border>
    <border>
      <right style="thin">
        <color rgb="FF6F8D8E"/>
      </right>
      <bottom style="thin">
        <color rgb="FFFFFFFF"/>
      </bottom>
    </border>
    <border>
      <right style="thin">
        <color rgb="FFC3CAD1"/>
      </right>
    </border>
    <border>
      <left style="thin">
        <color rgb="FFC3CAD1"/>
      </left>
      <right style="thin">
        <color rgb="FFC3CAD1"/>
      </right>
    </border>
    <border>
      <bottom style="thin">
        <color rgb="FFB7B7B7"/>
      </bottom>
    </border>
    <border>
      <right style="thin">
        <color rgb="FF6F8D8E"/>
      </right>
      <bottom style="thin">
        <color rgb="FFB7B7B7"/>
      </bottom>
    </border>
    <border>
      <bottom style="thin">
        <color rgb="FFEFEFEF"/>
      </bottom>
    </border>
    <border>
      <right style="thin">
        <color rgb="FFFFFFFF"/>
      </right>
      <bottom style="thin">
        <color rgb="FFEFEFEF"/>
      </bottom>
    </border>
    <border>
      <left style="thin">
        <color rgb="FF000000"/>
      </left>
    </border>
    <border>
      <left style="thin">
        <color rgb="FFC3CAD1"/>
      </left>
    </border>
    <border>
      <left style="thin">
        <color rgb="FF9AA0A6"/>
      </left>
      <top style="thin">
        <color rgb="FF9AA0A6"/>
      </top>
    </border>
    <border>
      <right style="thin">
        <color rgb="FF9AA0A6"/>
      </right>
      <top style="thin">
        <color rgb="FF9AA0A6"/>
      </top>
    </border>
    <border>
      <left style="thin">
        <color rgb="FF9AA0A6"/>
      </left>
      <top style="thin">
        <color rgb="FF9AA0A6"/>
      </top>
      <bottom style="thin">
        <color rgb="FF9AA0A6"/>
      </bottom>
    </border>
    <border>
      <left style="thin">
        <color rgb="FFB7B7B7"/>
      </left>
      <top style="thin">
        <color rgb="FFB7B7B7"/>
      </top>
      <bottom style="thin">
        <color rgb="FFB7B7B7"/>
      </bottom>
    </border>
    <border>
      <top style="thin">
        <color rgb="FFB7B7B7"/>
      </top>
      <bottom style="thin">
        <color rgb="FFB7B7B7"/>
      </bottom>
    </border>
    <border>
      <top style="thin">
        <color rgb="FF9AA0A6"/>
      </top>
      <bottom style="thin">
        <color rgb="FF9AA0A6"/>
      </bottom>
    </border>
    <border>
      <left style="thin">
        <color rgb="FFFFFFFF"/>
      </left>
      <top style="thin">
        <color rgb="FFFFFFFF"/>
      </top>
      <bottom style="thin">
        <color rgb="FFD9D9D9"/>
      </bottom>
    </border>
    <border>
      <top style="thin">
        <color rgb="FFFFFFFF"/>
      </top>
      <bottom style="thin">
        <color rgb="FFD9D9D9"/>
      </bottom>
    </border>
    <border>
      <right style="thin">
        <color rgb="FFFFFFFF"/>
      </right>
      <top style="thin">
        <color rgb="FFFFFFFF"/>
      </top>
      <bottom style="thin">
        <color rgb="FFD9D9D9"/>
      </bottom>
    </border>
    <border>
      <left style="thin">
        <color rgb="FFFFFFFF"/>
      </left>
      <bottom style="thin">
        <color rgb="FFFFFFFF"/>
      </bottom>
    </border>
    <border>
      <right style="thin">
        <color rgb="FFFFFFFF"/>
      </right>
      <bottom style="thin">
        <color rgb="FFFFFFFF"/>
      </bottom>
    </border>
    <border>
      <right style="thin">
        <color rgb="FFEFEFEF"/>
      </right>
    </border>
    <border>
      <left style="thin">
        <color rgb="FFEFEFEF"/>
      </left>
      <right style="thin">
        <color rgb="FFEFEFEF"/>
      </right>
    </border>
    <border>
      <left style="thin">
        <color rgb="FFEFEFEF"/>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ttom style="thin">
        <color rgb="FF000000"/>
      </bottom>
    </border>
    <border>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FFFFFF"/>
      </left>
      <right style="thin">
        <color rgb="FFFFFFFF"/>
      </right>
      <top style="thin">
        <color rgb="FFFFFFFF"/>
      </top>
      <bottom style="thin">
        <color rgb="FFD9D9D9"/>
      </bottom>
    </border>
    <border>
      <left style="thin">
        <color rgb="FFFFFFFF"/>
      </left>
      <right style="thin">
        <color rgb="FFFFFFFF"/>
      </right>
      <bottom style="thin">
        <color rgb="FFFFFFFF"/>
      </bottom>
    </border>
    <border>
      <right style="thin">
        <color rgb="FFD9D9D9"/>
      </right>
    </border>
    <border>
      <left style="thin">
        <color rgb="FFFFFFFF"/>
      </left>
      <right style="thin">
        <color rgb="FFFFFFFF"/>
      </right>
      <top style="thin">
        <color rgb="FFFFFFFF"/>
      </top>
      <bottom style="thin">
        <color rgb="FFFFFFFF"/>
      </bottom>
    </border>
    <border>
      <left style="thin">
        <color rgb="FFFFFFFF"/>
      </left>
      <right style="thin">
        <color rgb="FFD9D9D9"/>
      </right>
      <top style="thin">
        <color rgb="FFFFFFFF"/>
      </top>
      <bottom style="thin">
        <color rgb="FFFFFFFF"/>
      </bottom>
    </border>
    <border>
      <left style="thin">
        <color rgb="FFD9D9D9"/>
      </left>
      <right style="thin">
        <color rgb="FFD9D9D9"/>
      </right>
      <top style="thin">
        <color rgb="FFFFFFFF"/>
      </top>
      <bottom style="thin">
        <color rgb="FFD9D9D9"/>
      </bottom>
    </border>
  </borders>
  <cellStyleXfs count="1">
    <xf borderId="0" fillId="0" fontId="0" numFmtId="0" applyAlignment="1" applyFont="1"/>
  </cellStyleXfs>
  <cellXfs count="24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1"/>
    </xf>
    <xf borderId="0" fillId="0" fontId="2" numFmtId="0" xfId="0" applyAlignment="1" applyFont="1">
      <alignment shrinkToFit="0" wrapText="1"/>
    </xf>
    <xf borderId="0" fillId="0" fontId="3" numFmtId="0" xfId="0" applyAlignment="1" applyFont="1">
      <alignment horizontal="left" readingOrder="0" shrinkToFit="0" vertical="center" wrapText="1"/>
    </xf>
    <xf borderId="1" fillId="0" fontId="2" numFmtId="0" xfId="0" applyBorder="1" applyFont="1"/>
    <xf borderId="2" fillId="0" fontId="4" numFmtId="0" xfId="0" applyAlignment="1" applyBorder="1" applyFont="1">
      <alignment horizontal="left" readingOrder="0" shrinkToFit="0" vertical="bottom" wrapText="1"/>
    </xf>
    <xf borderId="3" fillId="0" fontId="2" numFmtId="0" xfId="0" applyBorder="1" applyFont="1"/>
    <xf borderId="0" fillId="2" fontId="5" numFmtId="0" xfId="0" applyAlignment="1" applyFill="1" applyFont="1">
      <alignment horizontal="left" readingOrder="0" shrinkToFit="0" vertical="bottom" wrapText="1"/>
    </xf>
    <xf borderId="0" fillId="3" fontId="6" numFmtId="0" xfId="0" applyAlignment="1" applyFill="1" applyFont="1">
      <alignment horizontal="left" readingOrder="0" shrinkToFit="0" vertical="bottom" wrapText="1"/>
    </xf>
    <xf borderId="4" fillId="0" fontId="2" numFmtId="0" xfId="0" applyBorder="1" applyFont="1"/>
    <xf borderId="0" fillId="0" fontId="7" numFmtId="0" xfId="0" applyAlignment="1" applyFont="1">
      <alignment horizontal="left" readingOrder="0" shrinkToFit="0" vertical="center" wrapText="1"/>
    </xf>
    <xf borderId="0" fillId="4" fontId="8" numFmtId="0" xfId="0" applyAlignment="1" applyFill="1" applyFont="1">
      <alignment horizontal="left" readingOrder="0" shrinkToFit="0" vertical="center" wrapText="1"/>
    </xf>
    <xf borderId="0" fillId="4" fontId="8" numFmtId="0" xfId="0" applyAlignment="1" applyFont="1">
      <alignment readingOrder="0" shrinkToFit="0" vertical="center" wrapText="1"/>
    </xf>
    <xf borderId="0" fillId="0" fontId="9" numFmtId="0" xfId="0" applyAlignment="1" applyFont="1">
      <alignment horizontal="left" readingOrder="0" shrinkToFit="0" vertical="bottom" wrapText="1"/>
    </xf>
    <xf borderId="5" fillId="0" fontId="9" numFmtId="0" xfId="0" applyAlignment="1" applyBorder="1" applyFont="1">
      <alignment horizontal="left" readingOrder="0" shrinkToFit="0" vertical="bottom" wrapText="1"/>
    </xf>
    <xf borderId="6" fillId="0" fontId="9" numFmtId="0" xfId="0" applyAlignment="1" applyBorder="1" applyFont="1">
      <alignment horizontal="left" readingOrder="0" shrinkToFit="0" vertical="bottom" wrapText="1"/>
    </xf>
    <xf borderId="0" fillId="5" fontId="10" numFmtId="0" xfId="0" applyAlignment="1" applyFill="1" applyFont="1">
      <alignment horizontal="left" readingOrder="0" shrinkToFit="0" vertical="center" wrapText="1"/>
    </xf>
    <xf borderId="4" fillId="5" fontId="10" numFmtId="0" xfId="0" applyAlignment="1" applyBorder="1" applyFont="1">
      <alignment horizontal="left" readingOrder="0" shrinkToFit="0" vertical="center" wrapText="1"/>
    </xf>
    <xf borderId="7" fillId="6" fontId="11" numFmtId="0" xfId="0" applyAlignment="1" applyBorder="1" applyFill="1" applyFont="1">
      <alignment horizontal="center" readingOrder="0" shrinkToFit="0" vertical="bottom" wrapText="1"/>
    </xf>
    <xf borderId="8" fillId="6" fontId="12" numFmtId="0" xfId="0" applyAlignment="1" applyBorder="1" applyFont="1">
      <alignment horizontal="center" readingOrder="0" shrinkToFit="0" vertical="bottom" wrapText="1"/>
    </xf>
    <xf borderId="8" fillId="6" fontId="13" numFmtId="0" xfId="0" applyAlignment="1" applyBorder="1" applyFont="1">
      <alignment horizontal="center" readingOrder="0" shrinkToFit="0" vertical="bottom" wrapText="1"/>
    </xf>
    <xf borderId="8" fillId="6" fontId="14" numFmtId="0" xfId="0" applyAlignment="1" applyBorder="1" applyFont="1">
      <alignment horizontal="center" readingOrder="0" shrinkToFit="0" vertical="bottom" wrapText="1"/>
    </xf>
    <xf borderId="0" fillId="7" fontId="15" numFmtId="0" xfId="0" applyAlignment="1" applyFill="1" applyFont="1">
      <alignment readingOrder="0" shrinkToFit="0" vertical="top" wrapText="1"/>
    </xf>
    <xf borderId="4" fillId="7" fontId="15" numFmtId="0" xfId="0" applyAlignment="1" applyBorder="1" applyFont="1">
      <alignment readingOrder="0" shrinkToFit="0" vertical="top" wrapText="1"/>
    </xf>
    <xf borderId="0" fillId="0" fontId="16" numFmtId="0" xfId="0" applyAlignment="1" applyFont="1">
      <alignment readingOrder="0" shrinkToFit="0" vertical="center" wrapText="1"/>
    </xf>
    <xf borderId="0" fillId="0" fontId="16" numFmtId="0" xfId="0" applyAlignment="1" applyFont="1">
      <alignment readingOrder="0" shrinkToFit="0" vertical="top" wrapText="1"/>
    </xf>
    <xf borderId="0" fillId="0" fontId="16" numFmtId="0" xfId="0" applyAlignment="1" applyFont="1">
      <alignment horizontal="left" readingOrder="0" shrinkToFit="0" vertical="center" wrapText="1"/>
    </xf>
    <xf borderId="4" fillId="0" fontId="16" numFmtId="0" xfId="0" applyAlignment="1" applyBorder="1" applyFont="1">
      <alignment readingOrder="0" shrinkToFit="0" vertical="top" wrapText="1"/>
    </xf>
    <xf borderId="9" fillId="0" fontId="2" numFmtId="0" xfId="0" applyBorder="1" applyFont="1"/>
    <xf borderId="9" fillId="0" fontId="16" numFmtId="0" xfId="0" applyAlignment="1" applyBorder="1" applyFont="1">
      <alignment readingOrder="0" shrinkToFit="0" vertical="top" wrapText="1"/>
    </xf>
    <xf borderId="10" fillId="0" fontId="16" numFmtId="0" xfId="0" applyAlignment="1" applyBorder="1" applyFont="1">
      <alignment readingOrder="0" shrinkToFit="0" vertical="top" wrapText="1"/>
    </xf>
    <xf borderId="11" fillId="0" fontId="4" numFmtId="0" xfId="0" applyAlignment="1" applyBorder="1" applyFont="1">
      <alignment horizontal="left" readingOrder="0" shrinkToFit="0" vertical="bottom" wrapText="1"/>
    </xf>
    <xf borderId="12" fillId="0" fontId="4" numFmtId="0" xfId="0" applyAlignment="1" applyBorder="1" applyFont="1">
      <alignment horizontal="left" readingOrder="0" shrinkToFit="0" vertical="bottom" wrapText="1"/>
    </xf>
    <xf borderId="0" fillId="0" fontId="17" numFmtId="0" xfId="0" applyAlignment="1" applyFont="1">
      <alignment shrinkToFit="0" vertical="bottom" wrapText="1"/>
    </xf>
    <xf borderId="13" fillId="0" fontId="8" numFmtId="0" xfId="0" applyAlignment="1" applyBorder="1" applyFont="1">
      <alignment horizontal="left" readingOrder="0" shrinkToFit="0" vertical="top" wrapText="1"/>
    </xf>
    <xf borderId="0" fillId="4" fontId="8" numFmtId="0" xfId="0" applyAlignment="1" applyFont="1">
      <alignment readingOrder="0" shrinkToFit="0" vertical="top" wrapText="1"/>
    </xf>
    <xf borderId="0" fillId="4" fontId="8" numFmtId="0" xfId="0" applyAlignment="1" applyFont="1">
      <alignment readingOrder="0" shrinkToFit="0" vertical="top" wrapText="1"/>
    </xf>
    <xf borderId="0" fillId="5" fontId="18" numFmtId="0" xfId="0" applyAlignment="1" applyFont="1">
      <alignment horizontal="left" readingOrder="0" shrinkToFit="0" vertical="center" wrapText="1"/>
    </xf>
    <xf borderId="7" fillId="6" fontId="14" numFmtId="0" xfId="0" applyAlignment="1" applyBorder="1" applyFont="1">
      <alignment horizontal="center" readingOrder="0" shrinkToFit="0" vertical="bottom" wrapText="1"/>
    </xf>
    <xf borderId="14" fillId="6" fontId="14" numFmtId="0" xfId="0" applyAlignment="1" applyBorder="1" applyFont="1">
      <alignment horizontal="center" readingOrder="0" shrinkToFit="0" vertical="bottom" wrapText="1"/>
    </xf>
    <xf borderId="0" fillId="7" fontId="19" numFmtId="0" xfId="0" applyAlignment="1" applyFont="1">
      <alignment readingOrder="0" shrinkToFit="0" vertical="top" wrapText="1"/>
    </xf>
    <xf borderId="0" fillId="7" fontId="19" numFmtId="0" xfId="0" applyAlignment="1" applyFont="1">
      <alignment readingOrder="0" shrinkToFit="0" vertical="top" wrapText="1"/>
    </xf>
    <xf borderId="0" fillId="7" fontId="20" numFmtId="0" xfId="0" applyAlignment="1" applyFont="1">
      <alignment horizontal="center" readingOrder="0" shrinkToFit="0" vertical="center" wrapText="1"/>
    </xf>
    <xf borderId="0" fillId="0" fontId="21" numFmtId="0" xfId="0" applyAlignment="1" applyFont="1">
      <alignment horizontal="left" readingOrder="0" shrinkToFit="0" vertical="center" wrapText="1"/>
    </xf>
    <xf borderId="0" fillId="0" fontId="21" numFmtId="0" xfId="0" applyAlignment="1" applyFont="1">
      <alignment readingOrder="0" shrinkToFit="0" vertical="center" wrapText="1"/>
    </xf>
    <xf borderId="0" fillId="0" fontId="22" numFmtId="0" xfId="0" applyAlignment="1" applyFont="1">
      <alignment readingOrder="0" shrinkToFit="0" vertical="center" wrapText="1"/>
    </xf>
    <xf borderId="11" fillId="0" fontId="2" numFmtId="0" xfId="0" applyBorder="1" applyFont="1"/>
    <xf borderId="12" fillId="0" fontId="2" numFmtId="0" xfId="0" applyBorder="1" applyFont="1"/>
    <xf borderId="13" fillId="0" fontId="23" numFmtId="0" xfId="0" applyAlignment="1" applyBorder="1" applyFont="1">
      <alignment horizontal="left" readingOrder="0" shrinkToFit="0" vertical="bottom" wrapText="1"/>
    </xf>
    <xf borderId="0" fillId="8" fontId="19" numFmtId="0" xfId="0" applyAlignment="1" applyFill="1" applyFont="1">
      <alignment readingOrder="0" shrinkToFit="0" vertical="top" wrapText="1"/>
    </xf>
    <xf borderId="0" fillId="8" fontId="19" numFmtId="0" xfId="0" applyAlignment="1" applyFont="1">
      <alignment readingOrder="0" shrinkToFit="0" vertical="top" wrapText="1"/>
    </xf>
    <xf borderId="0" fillId="8" fontId="24" numFmtId="0" xfId="0" applyAlignment="1" applyFont="1">
      <alignment readingOrder="0" shrinkToFit="0" vertical="top" wrapText="1"/>
    </xf>
    <xf borderId="0" fillId="8" fontId="16" numFmtId="0" xfId="0" applyAlignment="1" applyFont="1">
      <alignment readingOrder="0" shrinkToFit="0" vertical="top"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13" fillId="0" fontId="23" numFmtId="0" xfId="0" applyAlignment="1" applyBorder="1" applyFont="1">
      <alignment horizontal="left" readingOrder="0" shrinkToFit="0" vertical="center" wrapText="1"/>
    </xf>
    <xf borderId="0" fillId="4" fontId="25" numFmtId="0" xfId="0" applyAlignment="1" applyFont="1">
      <alignment readingOrder="0" shrinkToFit="0" vertical="top" wrapText="1"/>
    </xf>
    <xf borderId="0" fillId="4" fontId="8" numFmtId="0" xfId="0" applyAlignment="1" applyFont="1">
      <alignment readingOrder="0" shrinkToFit="0" vertical="center" wrapText="1"/>
    </xf>
    <xf borderId="7" fillId="6" fontId="26" numFmtId="0" xfId="0" applyAlignment="1" applyBorder="1" applyFont="1">
      <alignment horizontal="center" readingOrder="0" shrinkToFit="0" vertical="center" wrapText="1"/>
    </xf>
    <xf borderId="8" fillId="6" fontId="26" numFmtId="0" xfId="0" applyAlignment="1" applyBorder="1" applyFont="1">
      <alignment horizontal="center" readingOrder="0" shrinkToFit="0" vertical="center" wrapText="1"/>
    </xf>
    <xf borderId="14" fillId="6" fontId="26" numFmtId="0" xfId="0" applyAlignment="1" applyBorder="1" applyFont="1">
      <alignment horizontal="center" readingOrder="0" shrinkToFit="0" vertical="center" wrapText="1"/>
    </xf>
    <xf borderId="0" fillId="7" fontId="15" numFmtId="0" xfId="0" applyAlignment="1" applyFont="1">
      <alignment horizontal="left" readingOrder="0" shrinkToFit="0" vertical="top" wrapText="1"/>
    </xf>
    <xf borderId="0" fillId="0" fontId="27" numFmtId="0" xfId="0" applyAlignment="1" applyFont="1">
      <alignment shrinkToFit="0" vertical="center" wrapText="1"/>
    </xf>
    <xf borderId="0" fillId="0" fontId="21" numFmtId="0" xfId="0" applyAlignment="1" applyFont="1">
      <alignment shrinkToFit="0" vertical="center" wrapText="1"/>
    </xf>
    <xf borderId="0" fillId="0" fontId="28" numFmtId="0" xfId="0" applyAlignment="1" applyFont="1">
      <alignment horizontal="left" readingOrder="0" shrinkToFit="0" vertical="bottom" wrapText="1"/>
    </xf>
    <xf borderId="0" fillId="0" fontId="4" numFmtId="0" xfId="0" applyAlignment="1" applyFont="1">
      <alignment horizontal="left" readingOrder="0" shrinkToFit="0" vertical="bottom" wrapText="1"/>
    </xf>
    <xf borderId="0" fillId="9" fontId="29" numFmtId="0" xfId="0" applyAlignment="1" applyFill="1" applyFont="1">
      <alignment readingOrder="0" shrinkToFit="0" vertical="bottom" wrapText="1"/>
    </xf>
    <xf borderId="0" fillId="9" fontId="30" numFmtId="0" xfId="0" applyAlignment="1" applyFont="1">
      <alignment readingOrder="0" shrinkToFit="0" vertical="bottom" wrapText="1"/>
    </xf>
    <xf borderId="0" fillId="8" fontId="31" numFmtId="0" xfId="0" applyAlignment="1" applyFont="1">
      <alignment readingOrder="0" shrinkToFit="0" vertical="top" wrapText="1"/>
    </xf>
    <xf borderId="0" fillId="0" fontId="32" numFmtId="0" xfId="0" applyAlignment="1" applyFont="1">
      <alignment readingOrder="0" shrinkToFit="0" vertical="center" wrapText="1"/>
    </xf>
    <xf borderId="0" fillId="0" fontId="33" numFmtId="0" xfId="0" applyAlignment="1" applyFont="1">
      <alignment horizontal="left" readingOrder="0" shrinkToFit="0" vertical="center" wrapText="1"/>
    </xf>
    <xf borderId="0" fillId="0" fontId="1" numFmtId="0" xfId="0" applyAlignment="1" applyFont="1">
      <alignment horizontal="left" readingOrder="0" vertical="bottom"/>
    </xf>
    <xf borderId="11" fillId="0" fontId="4" numFmtId="0" xfId="0" applyAlignment="1" applyBorder="1" applyFont="1">
      <alignment horizontal="left" readingOrder="0" vertical="bottom"/>
    </xf>
    <xf borderId="0" fillId="4" fontId="34" numFmtId="0" xfId="0" applyAlignment="1" applyFont="1">
      <alignment readingOrder="0" shrinkToFit="0" vertical="center" wrapText="1"/>
    </xf>
    <xf borderId="0" fillId="4" fontId="34" numFmtId="0" xfId="0" applyAlignment="1" applyFont="1">
      <alignment readingOrder="0" shrinkToFit="0" vertical="top" wrapText="1"/>
    </xf>
    <xf borderId="0" fillId="4" fontId="35" numFmtId="0" xfId="0" applyAlignment="1" applyFont="1">
      <alignment readingOrder="0" shrinkToFit="0" vertical="top" wrapText="1"/>
    </xf>
    <xf borderId="0" fillId="4" fontId="36" numFmtId="0" xfId="0" applyAlignment="1" applyFont="1">
      <alignment readingOrder="0" shrinkToFit="0" vertical="top" wrapText="1"/>
    </xf>
    <xf borderId="0" fillId="5" fontId="18" numFmtId="0" xfId="0" applyAlignment="1" applyFont="1">
      <alignment horizontal="left" readingOrder="0" vertical="center"/>
    </xf>
    <xf borderId="0" fillId="6" fontId="14" numFmtId="0" xfId="0" applyAlignment="1" applyFont="1">
      <alignment horizontal="center" readingOrder="0" shrinkToFit="0" vertical="bottom" wrapText="1"/>
    </xf>
    <xf borderId="0" fillId="7" fontId="37" numFmtId="0" xfId="0" applyAlignment="1" applyFont="1">
      <alignment horizontal="center" readingOrder="0" shrinkToFit="0" vertical="center" wrapText="1"/>
    </xf>
    <xf borderId="0" fillId="10" fontId="25" numFmtId="0" xfId="0" applyAlignment="1" applyFill="1" applyFont="1">
      <alignment horizontal="right" readingOrder="0" shrinkToFit="0" vertical="center" wrapText="1"/>
    </xf>
    <xf borderId="0" fillId="10" fontId="25" numFmtId="0" xfId="0" applyAlignment="1" applyFont="1">
      <alignment horizontal="left" readingOrder="0" shrinkToFit="0" vertical="center" wrapText="1"/>
    </xf>
    <xf borderId="0" fillId="11" fontId="38" numFmtId="0" xfId="0" applyAlignment="1" applyFill="1" applyFont="1">
      <alignment horizontal="right" readingOrder="0" shrinkToFit="0" vertical="center" wrapText="1"/>
    </xf>
    <xf borderId="0" fillId="7" fontId="39" numFmtId="0" xfId="0" applyAlignment="1" applyFont="1">
      <alignment horizontal="left" readingOrder="0" shrinkToFit="0" vertical="center" wrapText="1"/>
    </xf>
    <xf borderId="0" fillId="11" fontId="25" numFmtId="0" xfId="0" applyAlignment="1" applyFont="1">
      <alignment horizontal="right" readingOrder="0" shrinkToFit="0" vertical="center" wrapText="1"/>
    </xf>
    <xf borderId="0" fillId="7" fontId="25" numFmtId="0" xfId="0" applyAlignment="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shrinkToFit="0" wrapText="1"/>
    </xf>
    <xf borderId="0" fillId="5" fontId="18" numFmtId="0" xfId="0" applyAlignment="1" applyFont="1">
      <alignment horizontal="center" readingOrder="0" shrinkToFit="0" vertical="center" wrapText="1"/>
    </xf>
    <xf borderId="0" fillId="9" fontId="14" numFmtId="0" xfId="0" applyAlignment="1" applyFont="1">
      <alignment horizontal="center" readingOrder="0" shrinkToFit="0" textRotation="0" vertical="center" wrapText="1"/>
    </xf>
    <xf borderId="0" fillId="9" fontId="40" numFmtId="0" xfId="0" applyAlignment="1" applyFont="1">
      <alignment readingOrder="0" shrinkToFit="0" vertical="center" wrapText="1"/>
    </xf>
    <xf borderId="0" fillId="9" fontId="41" numFmtId="0" xfId="0" applyAlignment="1" applyFont="1">
      <alignment horizontal="center" readingOrder="0" shrinkToFit="0" textRotation="45" vertical="center" wrapText="1"/>
    </xf>
    <xf borderId="0" fillId="9" fontId="42" numFmtId="0" xfId="0" applyAlignment="1" applyFont="1">
      <alignment readingOrder="0" shrinkToFit="0" vertical="center" wrapText="1"/>
    </xf>
    <xf borderId="0" fillId="9" fontId="43" numFmtId="0" xfId="0" applyAlignment="1" applyFont="1">
      <alignment readingOrder="0" shrinkToFit="0" vertical="center" wrapText="1"/>
    </xf>
    <xf borderId="15" fillId="9" fontId="44" numFmtId="0" xfId="0" applyAlignment="1" applyBorder="1" applyFont="1">
      <alignment horizontal="center" readingOrder="0" shrinkToFit="0" vertical="center" wrapText="1"/>
    </xf>
    <xf borderId="16" fillId="0" fontId="2" numFmtId="0" xfId="0" applyBorder="1" applyFont="1"/>
    <xf borderId="0" fillId="9" fontId="43" numFmtId="0" xfId="0" applyAlignment="1" applyFont="1">
      <alignment horizontal="center" readingOrder="0" shrinkToFit="0" textRotation="0" vertical="center" wrapText="1"/>
    </xf>
    <xf borderId="17" fillId="7" fontId="21" numFmtId="0" xfId="0" applyAlignment="1" applyBorder="1" applyFont="1">
      <alignment horizontal="left" readingOrder="0" shrinkToFit="0" vertical="center" wrapText="1"/>
    </xf>
    <xf borderId="18" fillId="12" fontId="23" numFmtId="0" xfId="0" applyAlignment="1" applyBorder="1" applyFill="1" applyFont="1">
      <alignment horizontal="center" readingOrder="0" shrinkToFit="0" vertical="center" wrapText="1"/>
    </xf>
    <xf borderId="19" fillId="0" fontId="45" numFmtId="0" xfId="0" applyAlignment="1" applyBorder="1" applyFont="1">
      <alignment horizontal="center" readingOrder="0" shrinkToFit="0" vertical="center" wrapText="1"/>
    </xf>
    <xf borderId="0" fillId="9" fontId="46" numFmtId="0" xfId="0" applyAlignment="1" applyFont="1">
      <alignment horizontal="center" readingOrder="0" shrinkToFit="0" textRotation="0" vertical="center" wrapText="1"/>
    </xf>
    <xf borderId="0" fillId="9" fontId="47" numFmtId="0" xfId="0" applyAlignment="1" applyFont="1">
      <alignment horizontal="center" readingOrder="0" shrinkToFit="0" textRotation="0" vertical="center" wrapText="1"/>
    </xf>
    <xf borderId="0" fillId="9" fontId="48" numFmtId="0" xfId="0" applyAlignment="1" applyFont="1">
      <alignment readingOrder="0" shrinkToFit="0" vertical="center" wrapText="1"/>
    </xf>
    <xf borderId="0" fillId="9" fontId="49" numFmtId="0" xfId="0" applyAlignment="1" applyFont="1">
      <alignment horizontal="center" readingOrder="0" shrinkToFit="0" textRotation="0" vertical="center" wrapText="1"/>
    </xf>
    <xf borderId="17" fillId="7" fontId="8" numFmtId="0" xfId="0" applyAlignment="1" applyBorder="1" applyFont="1">
      <alignment horizontal="center" readingOrder="0" shrinkToFit="0" vertical="center" wrapText="1"/>
    </xf>
    <xf borderId="20" fillId="0" fontId="2" numFmtId="0" xfId="0" applyBorder="1" applyFont="1"/>
    <xf borderId="17" fillId="7" fontId="21" numFmtId="0" xfId="0" applyAlignment="1" applyBorder="1" applyFont="1">
      <alignment horizontal="center" readingOrder="0" shrinkToFit="0" vertical="center" wrapText="1"/>
    </xf>
    <xf borderId="0" fillId="5" fontId="18" numFmtId="0" xfId="0" applyAlignment="1" applyFont="1">
      <alignment horizontal="center" readingOrder="0" vertical="center"/>
    </xf>
    <xf borderId="0" fillId="0" fontId="50" numFmtId="0" xfId="0" applyAlignment="1" applyFont="1">
      <alignment horizontal="left" readingOrder="0" vertical="center"/>
    </xf>
    <xf borderId="0" fillId="0" fontId="18" numFmtId="0" xfId="0" applyAlignment="1" applyFont="1">
      <alignment horizontal="left" readingOrder="0" vertical="center"/>
    </xf>
    <xf borderId="0" fillId="0" fontId="18" numFmtId="0" xfId="0" applyAlignment="1" applyFont="1">
      <alignment horizontal="center" readingOrder="0" vertical="center"/>
    </xf>
    <xf borderId="0" fillId="0" fontId="51" numFmtId="0" xfId="0" applyAlignment="1" applyFont="1">
      <alignment horizontal="left" readingOrder="0" vertical="center"/>
    </xf>
    <xf borderId="0" fillId="4" fontId="50" numFmtId="0" xfId="0" applyAlignment="1" applyFont="1">
      <alignment horizontal="left" readingOrder="0"/>
    </xf>
    <xf borderId="0" fillId="0" fontId="52" numFmtId="0" xfId="0" applyAlignment="1" applyFont="1">
      <alignment horizontal="center" readingOrder="0" vertical="center"/>
    </xf>
    <xf borderId="0" fillId="0" fontId="52" numFmtId="0" xfId="0" applyAlignment="1" applyFont="1">
      <alignment horizontal="left" readingOrder="0" vertical="center"/>
    </xf>
    <xf borderId="21" fillId="0" fontId="10" numFmtId="0" xfId="0" applyAlignment="1" applyBorder="1" applyFont="1">
      <alignment horizontal="left" readingOrder="0" vertical="center"/>
    </xf>
    <xf borderId="22" fillId="0" fontId="10" numFmtId="0" xfId="0" applyAlignment="1" applyBorder="1" applyFont="1">
      <alignment horizontal="left" readingOrder="0" vertical="center"/>
    </xf>
    <xf borderId="22" fillId="0" fontId="53" numFmtId="0" xfId="0" applyAlignment="1" applyBorder="1" applyFont="1">
      <alignment horizontal="left" readingOrder="0" vertical="center"/>
    </xf>
    <xf borderId="23" fillId="0" fontId="10" numFmtId="0" xfId="0" applyAlignment="1" applyBorder="1" applyFont="1">
      <alignment horizontal="left" readingOrder="0" vertical="center"/>
    </xf>
    <xf borderId="24" fillId="0" fontId="18" numFmtId="0" xfId="0" applyAlignment="1" applyBorder="1" applyFont="1">
      <alignment horizontal="left" readingOrder="0" vertical="center"/>
    </xf>
    <xf borderId="5" fillId="0" fontId="18" numFmtId="0" xfId="0" applyAlignment="1" applyBorder="1" applyFont="1">
      <alignment horizontal="left" readingOrder="0" vertical="center"/>
    </xf>
    <xf borderId="5" fillId="13" fontId="54" numFmtId="0" xfId="0" applyAlignment="1" applyBorder="1" applyFill="1" applyFont="1">
      <alignment horizontal="left" readingOrder="0" vertical="center"/>
    </xf>
    <xf borderId="5" fillId="14" fontId="54" numFmtId="0" xfId="0" applyAlignment="1" applyBorder="1" applyFill="1" applyFont="1">
      <alignment horizontal="left" readingOrder="0" vertical="center"/>
    </xf>
    <xf borderId="5" fillId="0" fontId="2" numFmtId="0" xfId="0" applyBorder="1" applyFont="1"/>
    <xf borderId="5" fillId="0" fontId="54" numFmtId="0" xfId="0" applyAlignment="1" applyBorder="1" applyFont="1">
      <alignment horizontal="left" readingOrder="0" vertical="center"/>
    </xf>
    <xf borderId="5" fillId="15" fontId="54" numFmtId="0" xfId="0" applyAlignment="1" applyBorder="1" applyFill="1" applyFont="1">
      <alignment horizontal="left" readingOrder="0" vertical="center"/>
    </xf>
    <xf borderId="5" fillId="15" fontId="18" numFmtId="0" xfId="0" applyAlignment="1" applyBorder="1" applyFont="1">
      <alignment horizontal="left" readingOrder="0" vertical="center"/>
    </xf>
    <xf borderId="5" fillId="16" fontId="18" numFmtId="0" xfId="0" applyAlignment="1" applyBorder="1" applyFill="1" applyFont="1">
      <alignment horizontal="left" readingOrder="0" vertical="center"/>
    </xf>
    <xf borderId="25" fillId="0" fontId="18" numFmtId="0" xfId="0" applyAlignment="1" applyBorder="1" applyFont="1">
      <alignment horizontal="left" readingOrder="0" vertical="center"/>
    </xf>
    <xf borderId="0" fillId="5" fontId="10" numFmtId="0" xfId="0" applyAlignment="1" applyFont="1">
      <alignment horizontal="left" readingOrder="0" vertical="center"/>
    </xf>
    <xf borderId="0" fillId="13" fontId="55" numFmtId="0" xfId="0" applyAlignment="1" applyFont="1">
      <alignment horizontal="left" readingOrder="0" shrinkToFit="0" wrapText="1"/>
    </xf>
    <xf borderId="0" fillId="15" fontId="56" numFmtId="0" xfId="0" applyAlignment="1" applyFont="1">
      <alignment horizontal="left" readingOrder="0" shrinkToFit="0" wrapText="1"/>
    </xf>
    <xf borderId="0" fillId="17" fontId="57" numFmtId="0" xfId="0" applyAlignment="1" applyFill="1" applyFont="1">
      <alignment horizontal="left" readingOrder="0" shrinkToFit="0" vertical="center" wrapText="1"/>
    </xf>
    <xf borderId="26" fillId="17" fontId="57" numFmtId="0" xfId="0" applyAlignment="1" applyBorder="1" applyFont="1">
      <alignment horizontal="left" readingOrder="0" shrinkToFit="0" wrapText="1"/>
    </xf>
    <xf borderId="27" fillId="18" fontId="57" numFmtId="0" xfId="0" applyAlignment="1" applyBorder="1" applyFill="1" applyFont="1">
      <alignment horizontal="left" readingOrder="0" shrinkToFit="0" wrapText="1"/>
    </xf>
    <xf borderId="26" fillId="19" fontId="57" numFmtId="0" xfId="0" applyAlignment="1" applyBorder="1" applyFill="1" applyFont="1">
      <alignment horizontal="left" readingOrder="0" shrinkToFit="0" wrapText="1"/>
    </xf>
    <xf borderId="27" fillId="19" fontId="57" numFmtId="0" xfId="0" applyAlignment="1" applyBorder="1" applyFont="1">
      <alignment horizontal="left" readingOrder="0" shrinkToFit="0" wrapText="1"/>
    </xf>
    <xf borderId="27" fillId="17" fontId="57" numFmtId="0" xfId="0" applyAlignment="1" applyBorder="1" applyFont="1">
      <alignment horizontal="left" readingOrder="0" shrinkToFit="0" wrapText="1"/>
    </xf>
    <xf borderId="28" fillId="18" fontId="57" numFmtId="0" xfId="0" applyAlignment="1" applyBorder="1" applyFont="1">
      <alignment horizontal="left" readingOrder="0" shrinkToFit="0" wrapText="1"/>
    </xf>
    <xf borderId="0" fillId="18" fontId="58" numFmtId="0" xfId="0" applyAlignment="1" applyFont="1">
      <alignment horizontal="left" readingOrder="0" shrinkToFit="0" vertical="center" wrapText="1"/>
    </xf>
    <xf borderId="0" fillId="18" fontId="58" numFmtId="0" xfId="0" applyAlignment="1" applyFont="1">
      <alignment horizontal="left" readingOrder="0" vertical="center"/>
    </xf>
    <xf borderId="0" fillId="11" fontId="59" numFmtId="0" xfId="0" applyAlignment="1" applyFont="1">
      <alignment horizontal="left" readingOrder="0" shrinkToFit="0" vertical="top" wrapText="1"/>
    </xf>
    <xf borderId="0" fillId="0" fontId="60" numFmtId="0" xfId="0" applyAlignment="1" applyFont="1">
      <alignment horizontal="left" readingOrder="0" shrinkToFit="0" vertical="center" wrapText="1"/>
    </xf>
    <xf borderId="9" fillId="0" fontId="60" numFmtId="0" xfId="0" applyAlignment="1" applyBorder="1" applyFont="1">
      <alignment horizontal="left" readingOrder="0" shrinkToFit="0" vertical="center" wrapText="1"/>
    </xf>
    <xf borderId="0" fillId="0" fontId="53" numFmtId="0" xfId="0" applyAlignment="1" applyFont="1">
      <alignment horizontal="left" readingOrder="0" vertical="center"/>
    </xf>
    <xf borderId="0" fillId="0" fontId="61" numFmtId="0" xfId="0" applyAlignment="1" applyFont="1">
      <alignment horizontal="left" readingOrder="0" vertical="center"/>
    </xf>
    <xf borderId="0" fillId="13" fontId="54" numFmtId="0" xfId="0" applyAlignment="1" applyFont="1">
      <alignment horizontal="left" readingOrder="0" vertical="center"/>
    </xf>
    <xf borderId="0" fillId="13" fontId="62" numFmtId="0" xfId="0" applyAlignment="1" applyFont="1">
      <alignment horizontal="left" readingOrder="0" vertical="center"/>
    </xf>
    <xf borderId="0" fillId="5" fontId="61" numFmtId="0" xfId="0" applyAlignment="1" applyFont="1">
      <alignment horizontal="left" readingOrder="0" vertical="center"/>
    </xf>
    <xf borderId="0" fillId="17" fontId="63" numFmtId="0" xfId="0" applyAlignment="1" applyFont="1">
      <alignment horizontal="left" readingOrder="0" shrinkToFit="0" vertical="center" wrapText="1"/>
    </xf>
    <xf borderId="0" fillId="18" fontId="64" numFmtId="0" xfId="0" applyAlignment="1" applyFont="1">
      <alignment horizontal="left" readingOrder="0" shrinkToFit="0" vertical="center" wrapText="1"/>
    </xf>
    <xf borderId="0" fillId="11" fontId="65" numFmtId="0" xfId="0" applyAlignment="1" applyFont="1">
      <alignment horizontal="left" readingOrder="0" shrinkToFit="0" vertical="top" wrapText="1"/>
    </xf>
    <xf borderId="0" fillId="11" fontId="66" numFmtId="0" xfId="0" applyAlignment="1" applyFont="1">
      <alignment horizontal="center" readingOrder="0" shrinkToFit="0" vertical="top" wrapText="1"/>
    </xf>
    <xf borderId="0" fillId="11" fontId="67" numFmtId="0" xfId="0" applyAlignment="1" applyFont="1">
      <alignment horizontal="center" readingOrder="0" shrinkToFit="0" vertical="top" wrapText="1"/>
    </xf>
    <xf borderId="0" fillId="0" fontId="68" numFmtId="0" xfId="0" applyAlignment="1" applyFont="1">
      <alignment horizontal="left" readingOrder="0" shrinkToFit="0" vertical="center" wrapText="1"/>
    </xf>
    <xf borderId="0" fillId="0" fontId="69" numFmtId="0" xfId="0" applyAlignment="1" applyFont="1">
      <alignment horizontal="left" readingOrder="0" shrinkToFit="0" vertical="center" wrapText="1"/>
    </xf>
    <xf borderId="0" fillId="0" fontId="70" numFmtId="0" xfId="0" applyFont="1"/>
    <xf borderId="29" fillId="0" fontId="71" numFmtId="0" xfId="0" applyAlignment="1" applyBorder="1" applyFont="1">
      <alignment shrinkToFit="0" vertical="bottom" wrapText="0"/>
    </xf>
    <xf borderId="30" fillId="0" fontId="2" numFmtId="0" xfId="0" applyBorder="1" applyFont="1"/>
    <xf borderId="0" fillId="0" fontId="72" numFmtId="0" xfId="0" applyAlignment="1" applyFont="1">
      <alignment vertical="bottom"/>
    </xf>
    <xf borderId="31" fillId="0" fontId="73" numFmtId="0" xfId="0" applyAlignment="1" applyBorder="1" applyFont="1">
      <alignment vertical="bottom"/>
    </xf>
    <xf borderId="31" fillId="0" fontId="74" numFmtId="0" xfId="0" applyAlignment="1" applyBorder="1" applyFont="1">
      <alignment shrinkToFit="0" vertical="bottom" wrapText="1"/>
    </xf>
    <xf borderId="0" fillId="0" fontId="74" numFmtId="0" xfId="0" applyAlignment="1" applyFont="1">
      <alignment vertical="bottom"/>
    </xf>
    <xf borderId="0" fillId="0" fontId="2" numFmtId="0" xfId="0" applyAlignment="1" applyFont="1">
      <alignment readingOrder="0"/>
    </xf>
    <xf borderId="0" fillId="4" fontId="75" numFmtId="0" xfId="0" applyAlignment="1" applyFont="1">
      <alignment horizontal="left" readingOrder="0"/>
    </xf>
    <xf borderId="32" fillId="11" fontId="76" numFmtId="0" xfId="0" applyAlignment="1" applyBorder="1" applyFont="1">
      <alignment readingOrder="0" shrinkToFit="0" vertical="center" wrapText="1"/>
    </xf>
    <xf borderId="33" fillId="0" fontId="2" numFmtId="0" xfId="0" applyBorder="1" applyFont="1"/>
    <xf borderId="29" fillId="0" fontId="77" numFmtId="0" xfId="0" applyAlignment="1" applyBorder="1" applyFont="1">
      <alignment horizontal="center" readingOrder="0"/>
    </xf>
    <xf borderId="34" fillId="0" fontId="2" numFmtId="0" xfId="0" applyBorder="1" applyFont="1"/>
    <xf borderId="35" fillId="0" fontId="78" numFmtId="0" xfId="0" applyAlignment="1" applyBorder="1" applyFont="1">
      <alignment horizontal="center" readingOrder="0"/>
    </xf>
    <xf borderId="35" fillId="0" fontId="2" numFmtId="0" xfId="0" applyBorder="1" applyFont="1"/>
    <xf borderId="13" fillId="0" fontId="2" numFmtId="0" xfId="0" applyBorder="1" applyFont="1"/>
    <xf borderId="36" fillId="0" fontId="2" numFmtId="0" xfId="0" applyBorder="1" applyFont="1"/>
    <xf borderId="29" fillId="12" fontId="79" numFmtId="0" xfId="0" applyAlignment="1" applyBorder="1" applyFont="1">
      <alignment horizontal="center" readingOrder="0" shrinkToFit="0" vertical="top" wrapText="1"/>
    </xf>
    <xf borderId="37" fillId="0" fontId="2" numFmtId="0" xfId="0" applyBorder="1" applyFont="1"/>
    <xf borderId="38" fillId="0" fontId="2" numFmtId="0" xfId="0" applyBorder="1" applyFont="1"/>
    <xf borderId="31" fillId="11" fontId="59" numFmtId="0" xfId="0" applyAlignment="1" applyBorder="1" applyFont="1">
      <alignment horizontal="left" readingOrder="0" shrinkToFit="0" vertical="top" wrapText="1"/>
    </xf>
    <xf borderId="31" fillId="0" fontId="80" numFmtId="0" xfId="0" applyAlignment="1" applyBorder="1" applyFont="1">
      <alignment horizontal="center" readingOrder="0"/>
    </xf>
    <xf borderId="39" fillId="0" fontId="78" numFmtId="0" xfId="0" applyAlignment="1" applyBorder="1" applyFont="1">
      <alignment readingOrder="0" vertical="center"/>
    </xf>
    <xf borderId="31" fillId="5" fontId="79" numFmtId="0" xfId="0" applyAlignment="1" applyBorder="1" applyFont="1">
      <alignment horizontal="left" readingOrder="0" shrinkToFit="0" vertical="top" wrapText="1"/>
    </xf>
    <xf borderId="36" fillId="20" fontId="2" numFmtId="0" xfId="0" applyBorder="1" applyFill="1" applyFont="1"/>
    <xf borderId="36" fillId="0" fontId="2" numFmtId="0" xfId="0" applyAlignment="1" applyBorder="1" applyFont="1">
      <alignment readingOrder="0"/>
    </xf>
    <xf borderId="39" fillId="0" fontId="77" numFmtId="0" xfId="0" applyAlignment="1" applyBorder="1" applyFont="1">
      <alignment readingOrder="0" vertical="center"/>
    </xf>
    <xf borderId="29" fillId="21" fontId="81" numFmtId="0" xfId="0" applyBorder="1" applyFill="1" applyFont="1"/>
    <xf borderId="31" fillId="4" fontId="82" numFmtId="0" xfId="0" applyAlignment="1" applyBorder="1" applyFont="1">
      <alignment horizontal="center"/>
    </xf>
    <xf borderId="31" fillId="0" fontId="81" numFmtId="0" xfId="0" applyAlignment="1" applyBorder="1" applyFont="1">
      <alignment horizontal="center"/>
    </xf>
    <xf borderId="31" fillId="0" fontId="81" numFmtId="0" xfId="0" applyAlignment="1" applyBorder="1" applyFont="1">
      <alignment horizontal="center" readingOrder="0"/>
    </xf>
    <xf borderId="40" fillId="0" fontId="2" numFmtId="0" xfId="0" applyBorder="1" applyFont="1"/>
    <xf borderId="31" fillId="0" fontId="82" numFmtId="0" xfId="0" applyAlignment="1" applyBorder="1" applyFont="1">
      <alignment horizontal="center"/>
    </xf>
    <xf borderId="29" fillId="21" fontId="81" numFmtId="0" xfId="0" applyAlignment="1" applyBorder="1" applyFont="1">
      <alignment horizontal="center"/>
    </xf>
    <xf borderId="41" fillId="0" fontId="2" numFmtId="0" xfId="0" applyBorder="1" applyFont="1"/>
    <xf borderId="38" fillId="0" fontId="2" numFmtId="0" xfId="0" applyAlignment="1" applyBorder="1" applyFont="1">
      <alignment readingOrder="0"/>
    </xf>
    <xf borderId="38" fillId="20" fontId="2" numFmtId="0" xfId="0" applyBorder="1" applyFont="1"/>
    <xf borderId="31" fillId="0" fontId="80" numFmtId="0" xfId="0" applyAlignment="1" applyBorder="1" applyFont="1">
      <alignment readingOrder="0"/>
    </xf>
    <xf borderId="32" fillId="22" fontId="80" numFmtId="0" xfId="0" applyBorder="1" applyFill="1" applyFont="1"/>
    <xf borderId="35" fillId="22" fontId="80" numFmtId="0" xfId="0" applyBorder="1" applyFont="1"/>
    <xf borderId="33" fillId="22" fontId="80" numFmtId="0" xfId="0" applyBorder="1" applyFont="1"/>
    <xf borderId="35" fillId="0" fontId="80" numFmtId="0" xfId="0" applyAlignment="1" applyBorder="1" applyFont="1">
      <alignment readingOrder="0"/>
    </xf>
    <xf borderId="33" fillId="0" fontId="80" numFmtId="0" xfId="0" applyAlignment="1" applyBorder="1" applyFont="1">
      <alignment readingOrder="0"/>
    </xf>
    <xf borderId="13" fillId="0" fontId="80" numFmtId="0" xfId="0" applyAlignment="1" applyBorder="1" applyFont="1">
      <alignment readingOrder="0"/>
    </xf>
    <xf borderId="0" fillId="0" fontId="80" numFmtId="0" xfId="0" applyAlignment="1" applyFont="1">
      <alignment readingOrder="0"/>
    </xf>
    <xf borderId="36" fillId="0" fontId="80" numFmtId="0" xfId="0" applyAlignment="1" applyBorder="1" applyFont="1">
      <alignment readingOrder="0"/>
    </xf>
    <xf borderId="0" fillId="22" fontId="80" numFmtId="0" xfId="0" applyFont="1"/>
    <xf borderId="36" fillId="22" fontId="80" numFmtId="0" xfId="0" applyBorder="1" applyFont="1"/>
    <xf borderId="37" fillId="0" fontId="80" numFmtId="0" xfId="0" applyAlignment="1" applyBorder="1" applyFont="1">
      <alignment readingOrder="0"/>
    </xf>
    <xf borderId="42" fillId="0" fontId="80" numFmtId="0" xfId="0" applyAlignment="1" applyBorder="1" applyFont="1">
      <alignment readingOrder="0"/>
    </xf>
    <xf borderId="38" fillId="0" fontId="80" numFmtId="0" xfId="0" applyAlignment="1" applyBorder="1" applyFont="1">
      <alignment readingOrder="0"/>
    </xf>
    <xf borderId="42" fillId="22" fontId="80" numFmtId="0" xfId="0" applyBorder="1" applyFont="1"/>
    <xf borderId="42" fillId="22" fontId="80" numFmtId="0" xfId="0" applyAlignment="1" applyBorder="1" applyFont="1">
      <alignment readingOrder="0"/>
    </xf>
    <xf borderId="38" fillId="22" fontId="80" numFmtId="0" xfId="0" applyAlignment="1" applyBorder="1" applyFont="1">
      <alignment readingOrder="0"/>
    </xf>
    <xf borderId="0" fillId="4" fontId="83" numFmtId="0" xfId="0" applyFont="1"/>
    <xf borderId="43" fillId="0" fontId="10" numFmtId="0" xfId="0" applyAlignment="1" applyBorder="1" applyFont="1">
      <alignment horizontal="left" readingOrder="0" vertical="center"/>
    </xf>
    <xf borderId="44" fillId="0" fontId="18" numFmtId="0" xfId="0" applyAlignment="1" applyBorder="1" applyFont="1">
      <alignment horizontal="left" readingOrder="0" vertical="center"/>
    </xf>
    <xf borderId="44" fillId="0" fontId="18" numFmtId="0" xfId="0" applyAlignment="1" applyBorder="1" applyFont="1">
      <alignment horizontal="right" readingOrder="0" vertical="center"/>
    </xf>
    <xf borderId="13" fillId="5" fontId="10" numFmtId="0" xfId="0" applyAlignment="1" applyBorder="1" applyFont="1">
      <alignment horizontal="left" readingOrder="0" vertical="center"/>
    </xf>
    <xf borderId="0" fillId="13" fontId="55" numFmtId="0" xfId="0" applyAlignment="1" applyFont="1">
      <alignment readingOrder="0" shrinkToFit="0" wrapText="1"/>
    </xf>
    <xf borderId="0" fillId="15" fontId="56" numFmtId="0" xfId="0" applyAlignment="1" applyFont="1">
      <alignment readingOrder="0" shrinkToFit="0" wrapText="1"/>
    </xf>
    <xf borderId="26" fillId="18" fontId="57" numFmtId="0" xfId="0" applyAlignment="1" applyBorder="1" applyFont="1">
      <alignment horizontal="center" readingOrder="0" shrinkToFit="0" wrapText="1"/>
    </xf>
    <xf borderId="27" fillId="18" fontId="57" numFmtId="0" xfId="0" applyAlignment="1" applyBorder="1" applyFont="1">
      <alignment horizontal="center" readingOrder="0" shrinkToFit="0" wrapText="1"/>
    </xf>
    <xf borderId="28" fillId="18" fontId="57" numFmtId="0" xfId="0" applyAlignment="1" applyBorder="1" applyFont="1">
      <alignment horizontal="center" readingOrder="0" shrinkToFit="0" wrapText="1"/>
    </xf>
    <xf borderId="0" fillId="11" fontId="84" numFmtId="0" xfId="0" applyAlignment="1" applyFont="1">
      <alignment readingOrder="0" shrinkToFit="0" vertical="top" wrapText="1"/>
    </xf>
    <xf borderId="0" fillId="0" fontId="34" numFmtId="0" xfId="0" applyAlignment="1" applyFont="1">
      <alignment readingOrder="0" shrinkToFit="0" vertical="top" wrapText="1"/>
    </xf>
    <xf borderId="0" fillId="0" fontId="34" numFmtId="0" xfId="0" applyAlignment="1" applyFont="1">
      <alignment horizontal="center" readingOrder="0" shrinkToFit="0" vertical="center" wrapText="1"/>
    </xf>
    <xf borderId="0" fillId="23" fontId="85" numFmtId="0" xfId="0" applyAlignment="1" applyFill="1" applyFont="1">
      <alignment readingOrder="0" shrinkToFit="0" vertical="top" wrapText="1"/>
    </xf>
    <xf borderId="0" fillId="0" fontId="86" numFmtId="0" xfId="0" applyAlignment="1" applyFont="1">
      <alignment horizontal="center" readingOrder="0" shrinkToFit="0" vertical="top" wrapText="1"/>
    </xf>
    <xf borderId="0" fillId="24" fontId="85" numFmtId="0" xfId="0" applyAlignment="1" applyFill="1" applyFont="1">
      <alignment readingOrder="0" shrinkToFit="0" vertical="top" wrapText="1"/>
    </xf>
    <xf borderId="0" fillId="0" fontId="87" numFmtId="0" xfId="0" applyAlignment="1" applyFont="1">
      <alignment readingOrder="0" shrinkToFit="0" vertical="top" wrapText="1"/>
    </xf>
    <xf borderId="0" fillId="0" fontId="34" numFmtId="0" xfId="0" applyAlignment="1" applyFont="1">
      <alignment readingOrder="0" shrinkToFit="0" vertical="top" wrapText="1"/>
    </xf>
    <xf borderId="0" fillId="25" fontId="85" numFmtId="0" xfId="0" applyAlignment="1" applyFill="1" applyFont="1">
      <alignment readingOrder="0" shrinkToFit="0" vertical="top" wrapText="1"/>
    </xf>
    <xf borderId="0" fillId="0" fontId="34" numFmtId="0" xfId="0" applyAlignment="1" applyFont="1">
      <alignment horizontal="center" readingOrder="0" shrinkToFit="0" vertical="top" wrapText="1"/>
    </xf>
    <xf borderId="0" fillId="0" fontId="10" numFmtId="0" xfId="0" applyAlignment="1" applyFont="1">
      <alignment horizontal="left" readingOrder="0" vertical="center"/>
    </xf>
    <xf borderId="13" fillId="0" fontId="18" numFmtId="0" xfId="0" applyAlignment="1" applyBorder="1" applyFont="1">
      <alignment horizontal="left" readingOrder="0" vertical="center"/>
    </xf>
    <xf borderId="0" fillId="0" fontId="88" numFmtId="0" xfId="0" applyAlignment="1" applyFont="1">
      <alignment horizontal="center" readingOrder="0" vertical="center"/>
    </xf>
    <xf borderId="45" fillId="0" fontId="88" numFmtId="0" xfId="0" applyAlignment="1" applyBorder="1" applyFont="1">
      <alignment horizontal="center" readingOrder="0" shrinkToFit="0" vertical="center" wrapText="1"/>
    </xf>
    <xf borderId="0" fillId="0" fontId="80" numFmtId="0" xfId="0" applyFont="1"/>
    <xf borderId="46" fillId="5" fontId="89" numFmtId="0" xfId="0" applyAlignment="1" applyBorder="1" applyFont="1">
      <alignment horizontal="center" readingOrder="0" vertical="center"/>
    </xf>
    <xf borderId="46" fillId="26" fontId="85" numFmtId="0" xfId="0" applyAlignment="1" applyBorder="1" applyFill="1" applyFont="1">
      <alignment horizontal="center" readingOrder="0" vertical="center"/>
    </xf>
    <xf borderId="46" fillId="27" fontId="89" numFmtId="0" xfId="0" applyAlignment="1" applyBorder="1" applyFill="1" applyFont="1">
      <alignment horizontal="center" readingOrder="0" vertical="center"/>
    </xf>
    <xf borderId="46" fillId="28" fontId="85" numFmtId="0" xfId="0" applyAlignment="1" applyBorder="1" applyFill="1" applyFont="1">
      <alignment horizontal="center" readingOrder="0" vertical="center"/>
    </xf>
    <xf borderId="47" fillId="5" fontId="89" numFmtId="0" xfId="0" applyAlignment="1" applyBorder="1" applyFont="1">
      <alignment horizontal="center" readingOrder="0" shrinkToFit="0" vertical="center" wrapText="1"/>
    </xf>
    <xf borderId="48" fillId="0" fontId="90" numFmtId="0" xfId="0" applyAlignment="1" applyBorder="1" applyFont="1">
      <alignment horizontal="center"/>
    </xf>
    <xf borderId="48" fillId="0" fontId="91" numFmtId="0" xfId="0" applyAlignment="1" applyBorder="1" applyFont="1">
      <alignment horizontal="center" readingOrder="0"/>
    </xf>
    <xf borderId="0" fillId="4" fontId="80" numFmtId="0" xfId="0" applyFont="1"/>
    <xf borderId="45" fillId="0" fontId="2" numFmtId="0" xfId="0" applyBorder="1" applyFont="1"/>
    <xf borderId="0" fillId="5" fontId="80" numFmtId="0" xfId="0" applyFont="1"/>
    <xf borderId="0" fillId="0" fontId="92" numFmtId="0" xfId="0" applyAlignment="1" applyFont="1">
      <alignment readingOrder="0"/>
    </xf>
    <xf borderId="0" fillId="0" fontId="93" numFmtId="0" xfId="0" applyAlignment="1" applyFont="1">
      <alignment horizontal="center" readingOrder="0"/>
    </xf>
    <xf borderId="0" fillId="0" fontId="89" numFmtId="0" xfId="0" applyAlignment="1" applyFont="1">
      <alignment readingOrder="0" shrinkToFit="0" vertical="top" wrapText="1"/>
    </xf>
  </cellXfs>
  <cellStyles count="1">
    <cellStyle xfId="0" name="Normal" builtinId="0"/>
  </cellStyles>
  <dxfs count="14">
    <dxf>
      <font/>
      <fill>
        <patternFill patternType="solid">
          <fgColor rgb="FFB7E1CD"/>
          <bgColor rgb="FFB7E1CD"/>
        </patternFill>
      </fill>
      <border/>
    </dxf>
    <dxf>
      <font/>
      <fill>
        <patternFill patternType="solid">
          <fgColor rgb="FFFFF2CC"/>
          <bgColor rgb="FFFFF2CC"/>
        </patternFill>
      </fill>
      <border/>
    </dxf>
    <dxf>
      <font>
        <color rgb="FF000000"/>
      </font>
      <fill>
        <patternFill patternType="solid">
          <fgColor rgb="FFF6AEA9"/>
          <bgColor rgb="FFF6AEA9"/>
        </patternFill>
      </fill>
      <border/>
    </dxf>
    <dxf>
      <font>
        <color rgb="FF32595A"/>
      </font>
      <fill>
        <patternFill patternType="solid">
          <fgColor rgb="FFBDF4E7"/>
          <bgColor rgb="FFBDF4E7"/>
        </patternFill>
      </fill>
      <border/>
    </dxf>
    <dxf>
      <font>
        <color rgb="FF000000"/>
      </font>
      <fill>
        <patternFill patternType="solid">
          <fgColor rgb="FFFAF49F"/>
          <bgColor rgb="FFFAF49F"/>
        </patternFill>
      </fill>
      <border/>
    </dxf>
    <dxf>
      <font/>
      <fill>
        <patternFill patternType="solid">
          <fgColor rgb="FFF6AEA9"/>
          <bgColor rgb="FFF6AEA9"/>
        </patternFill>
      </fill>
      <border/>
    </dxf>
    <dxf>
      <font/>
      <fill>
        <patternFill patternType="solid">
          <fgColor rgb="FFBDF4E7"/>
          <bgColor rgb="FFBDF4E7"/>
        </patternFill>
      </fill>
      <border/>
    </dxf>
    <dxf>
      <font/>
      <fill>
        <patternFill patternType="solid">
          <fgColor rgb="FFFAF49F"/>
          <bgColor rgb="FFFAF49F"/>
        </patternFill>
      </fill>
      <border/>
    </dxf>
    <dxf>
      <font>
        <color rgb="FFFFFFFF"/>
      </font>
      <fill>
        <patternFill patternType="solid">
          <fgColor rgb="FF34A853"/>
          <bgColor rgb="FF34A853"/>
        </patternFill>
      </fill>
      <border/>
    </dxf>
    <dxf>
      <font>
        <color rgb="FF434343"/>
      </font>
      <fill>
        <patternFill patternType="solid">
          <fgColor rgb="FFFBBC04"/>
          <bgColor rgb="FFFBBC04"/>
        </patternFill>
      </fill>
      <border/>
    </dxf>
    <dxf>
      <font>
        <color rgb="FFFFFFFF"/>
      </font>
      <fill>
        <patternFill patternType="solid">
          <fgColor rgb="FFEA4335"/>
          <bgColor rgb="FFEA4335"/>
        </patternFill>
      </fill>
      <border/>
    </dxf>
    <dxf>
      <font>
        <color rgb="FF000000"/>
      </font>
      <fill>
        <patternFill patternType="solid">
          <fgColor rgb="FFFBBC04"/>
          <bgColor rgb="FFFBBC04"/>
        </patternFill>
      </fill>
      <border/>
    </dxf>
    <dxf>
      <font>
        <color rgb="FFFFFFFF"/>
      </font>
      <fill>
        <patternFill patternType="solid">
          <fgColor rgb="FF1967D2"/>
          <bgColor rgb="FF1967D2"/>
        </patternFill>
      </fill>
      <border/>
    </dxf>
    <dxf>
      <font/>
      <fill>
        <patternFill patternType="solid">
          <fgColor rgb="FF34A853"/>
          <bgColor rgb="FF34A85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OFTEn Calculator</a:t>
            </a:r>
          </a:p>
        </c:rich>
      </c:tx>
      <c:layout>
        <c:manualLayout>
          <c:xMode val="edge"/>
          <c:yMode val="edge"/>
          <c:x val="0.02374067164179105"/>
          <c:y val="0.05196463654223969"/>
        </c:manualLayout>
      </c:layout>
      <c:overlay val="0"/>
    </c:title>
    <c:plotArea>
      <c:layout/>
      <c:barChart>
        <c:barDir val="bar"/>
        <c:ser>
          <c:idx val="0"/>
          <c:order val="0"/>
          <c:spPr>
            <a:solidFill>
              <a:srgbClr val="4285F4"/>
            </a:solidFill>
            <a:ln cmpd="sng">
              <a:solidFill>
                <a:srgbClr val="000000"/>
              </a:solidFill>
            </a:ln>
          </c:spPr>
          <c:cat>
            <c:strRef>
              <c:f>'Output OFTEn Calculators'!$A$8:$A$15</c:f>
            </c:strRef>
          </c:cat>
          <c:val>
            <c:numRef>
              <c:f>'Output OFTEn Calculators'!$B$8:$B$15</c:f>
              <c:numCache/>
            </c:numRef>
          </c:val>
        </c:ser>
        <c:axId val="1152800368"/>
        <c:axId val="1437791185"/>
      </c:barChart>
      <c:catAx>
        <c:axId val="1152800368"/>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OFTEn Calculator</a:t>
                </a:r>
              </a:p>
            </c:rich>
          </c:tx>
          <c:overlay val="0"/>
        </c:title>
        <c:numFmt formatCode="General" sourceLinked="1"/>
        <c:majorTickMark val="none"/>
        <c:minorTickMark val="none"/>
        <c:spPr/>
        <c:txPr>
          <a:bodyPr/>
          <a:lstStyle/>
          <a:p>
            <a:pPr lvl="0">
              <a:defRPr b="0">
                <a:solidFill>
                  <a:srgbClr val="000000"/>
                </a:solidFill>
                <a:latin typeface="Roboto"/>
              </a:defRPr>
            </a:pPr>
          </a:p>
        </c:txPr>
        <c:crossAx val="1437791185"/>
      </c:catAx>
      <c:valAx>
        <c:axId val="143779118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52800368"/>
        <c:crosses val="max"/>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34A853"/>
              </a:solidFill>
            </c:spPr>
          </c:dPt>
          <c:dLbls>
            <c:showLegendKey val="0"/>
            <c:showVal val="0"/>
            <c:showCatName val="0"/>
            <c:showSerName val="0"/>
            <c:showPercent val="0"/>
            <c:showBubbleSize val="0"/>
            <c:showLeaderLines val="1"/>
          </c:dLbls>
          <c:cat>
            <c:strRef>
              <c:f>' Example Exec Summary'!$B$5:$D$5</c:f>
            </c:strRef>
          </c:cat>
          <c:val>
            <c:numRef>
              <c:f>' Example Exec Summary'!$B$6:$D$6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000000"/>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7.png"/><Relationship Id="rId3" Type="http://schemas.openxmlformats.org/officeDocument/2006/relationships/image" Target="../media/image3.png"/><Relationship Id="rId4"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361950</xdr:colOff>
      <xdr:row>0</xdr:row>
      <xdr:rowOff>142875</xdr:rowOff>
    </xdr:from>
    <xdr:ext cx="1152525" cy="409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57150</xdr:rowOff>
    </xdr:from>
    <xdr:ext cx="10258425" cy="5457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24025" cy="4476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xdr:row>
      <xdr:rowOff>0</xdr:rowOff>
    </xdr:from>
    <xdr:ext cx="447675" cy="4476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161925</xdr:colOff>
      <xdr:row>3</xdr:row>
      <xdr:rowOff>85725</xdr:rowOff>
    </xdr:from>
    <xdr:ext cx="5400675" cy="30575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123950"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333375" cy="3333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3</xdr:row>
      <xdr:rowOff>0</xdr:rowOff>
    </xdr:from>
    <xdr:ext cx="371475" cy="33337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xdr:row>
      <xdr:rowOff>0</xdr:rowOff>
    </xdr:from>
    <xdr:ext cx="371475" cy="3333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3</xdr:row>
      <xdr:rowOff>0</xdr:rowOff>
    </xdr:from>
    <xdr:ext cx="304800" cy="3333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hyperlink" Target="http://pair-code.github.io/datacardsplayboo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4.43" defaultRowHeight="15.75"/>
  <cols>
    <col customWidth="1" min="1" max="2" width="40.86"/>
    <col customWidth="1" min="3" max="3" width="63.71"/>
    <col customWidth="1" min="4" max="4" width="27.57"/>
    <col customWidth="1" min="5" max="5" width="48.29"/>
    <col customWidth="1" min="6" max="6" width="35.86"/>
    <col customWidth="1" min="7" max="10" width="27.29"/>
  </cols>
  <sheetData>
    <row r="1" ht="56.25" customHeight="1">
      <c r="A1" s="1" t="s">
        <v>0</v>
      </c>
      <c r="G1" s="2"/>
      <c r="H1" s="3" t="s">
        <v>1</v>
      </c>
      <c r="J1" s="4"/>
    </row>
    <row r="2" ht="59.25" customHeight="1">
      <c r="A2" s="5" t="s">
        <v>2</v>
      </c>
      <c r="B2" s="6"/>
      <c r="C2" s="6"/>
      <c r="D2" s="6"/>
      <c r="E2" s="6"/>
      <c r="F2" s="6"/>
      <c r="G2" s="6"/>
      <c r="H2" s="6"/>
      <c r="I2" s="6"/>
      <c r="J2" s="6"/>
    </row>
    <row r="3" ht="45.75" customHeight="1">
      <c r="A3" s="7" t="s">
        <v>3</v>
      </c>
      <c r="E3" s="8" t="s">
        <v>4</v>
      </c>
      <c r="J3" s="9"/>
    </row>
    <row r="4" ht="107.25" customHeight="1">
      <c r="A4" s="10" t="s">
        <v>5</v>
      </c>
      <c r="B4" s="11" t="s">
        <v>6</v>
      </c>
      <c r="C4" s="10" t="s">
        <v>7</v>
      </c>
      <c r="D4" s="12" t="s">
        <v>8</v>
      </c>
      <c r="E4" s="12" t="s">
        <v>9</v>
      </c>
      <c r="F4" s="10" t="s">
        <v>10</v>
      </c>
      <c r="G4" s="10" t="s">
        <v>11</v>
      </c>
      <c r="J4" s="9"/>
    </row>
    <row r="5" ht="35.25" customHeight="1">
      <c r="A5" s="13" t="s">
        <v>12</v>
      </c>
      <c r="B5" s="13" t="s">
        <v>13</v>
      </c>
      <c r="C5" s="13" t="s">
        <v>14</v>
      </c>
      <c r="D5" s="13"/>
      <c r="E5" s="14" t="s">
        <v>15</v>
      </c>
      <c r="F5" s="14"/>
      <c r="G5" s="14" t="s">
        <v>16</v>
      </c>
      <c r="H5" s="14"/>
      <c r="I5" s="14"/>
      <c r="J5" s="15"/>
    </row>
    <row r="6" ht="6.0" customHeight="1">
      <c r="A6" s="16"/>
      <c r="B6" s="16"/>
      <c r="C6" s="16"/>
      <c r="D6" s="16"/>
      <c r="E6" s="16"/>
      <c r="F6" s="16"/>
      <c r="G6" s="16"/>
      <c r="H6" s="16"/>
      <c r="I6" s="16"/>
      <c r="J6" s="17"/>
    </row>
    <row r="7">
      <c r="A7" s="18" t="s">
        <v>17</v>
      </c>
      <c r="B7" s="19" t="s">
        <v>18</v>
      </c>
      <c r="C7" s="20" t="s">
        <v>19</v>
      </c>
      <c r="D7" s="21" t="s">
        <v>20</v>
      </c>
      <c r="E7" s="21" t="s">
        <v>21</v>
      </c>
      <c r="F7" s="21" t="s">
        <v>22</v>
      </c>
      <c r="G7" s="21" t="s">
        <v>23</v>
      </c>
      <c r="H7" s="21" t="s">
        <v>24</v>
      </c>
      <c r="I7" s="21" t="s">
        <v>25</v>
      </c>
      <c r="J7" s="21" t="s">
        <v>26</v>
      </c>
    </row>
    <row r="8" ht="156.75" customHeight="1">
      <c r="A8" s="22" t="s">
        <v>27</v>
      </c>
      <c r="B8" s="22" t="s">
        <v>28</v>
      </c>
      <c r="C8" s="22" t="s">
        <v>29</v>
      </c>
      <c r="E8" s="22" t="s">
        <v>30</v>
      </c>
      <c r="F8" s="22" t="s">
        <v>31</v>
      </c>
      <c r="G8" s="22" t="s">
        <v>32</v>
      </c>
      <c r="H8" s="22" t="s">
        <v>33</v>
      </c>
      <c r="I8" s="22" t="s">
        <v>34</v>
      </c>
      <c r="J8" s="23" t="s">
        <v>35</v>
      </c>
    </row>
    <row r="9">
      <c r="A9" s="24"/>
      <c r="B9" s="24" t="s">
        <v>36</v>
      </c>
      <c r="C9" s="25" t="s">
        <v>37</v>
      </c>
      <c r="D9" s="25"/>
      <c r="E9" s="26"/>
      <c r="F9" s="24"/>
      <c r="G9" s="25"/>
      <c r="H9" s="25"/>
      <c r="I9" s="25"/>
      <c r="J9" s="27"/>
    </row>
    <row r="10">
      <c r="A10" s="24"/>
      <c r="G10" s="25"/>
      <c r="H10" s="25"/>
      <c r="I10" s="25"/>
      <c r="J10" s="27"/>
    </row>
    <row r="11">
      <c r="A11" s="24"/>
      <c r="C11" s="25" t="s">
        <v>38</v>
      </c>
      <c r="D11" s="25"/>
      <c r="E11" s="26"/>
      <c r="F11" s="24"/>
      <c r="G11" s="25"/>
      <c r="H11" s="25"/>
      <c r="I11" s="25"/>
      <c r="J11" s="27"/>
    </row>
    <row r="12">
      <c r="A12" s="24"/>
      <c r="G12" s="25"/>
      <c r="H12" s="25"/>
      <c r="I12" s="25"/>
      <c r="J12" s="27"/>
    </row>
    <row r="13">
      <c r="A13" s="24"/>
      <c r="C13" s="25" t="s">
        <v>39</v>
      </c>
      <c r="D13" s="25"/>
      <c r="E13" s="26"/>
      <c r="F13" s="24"/>
      <c r="G13" s="25"/>
      <c r="H13" s="25"/>
      <c r="I13" s="25"/>
      <c r="J13" s="27"/>
    </row>
    <row r="14">
      <c r="A14" s="24"/>
      <c r="F14" s="28"/>
      <c r="G14" s="29"/>
      <c r="H14" s="29"/>
      <c r="I14" s="29"/>
      <c r="J14" s="30"/>
    </row>
    <row r="15">
      <c r="A15" s="24"/>
      <c r="B15" s="24" t="s">
        <v>40</v>
      </c>
      <c r="C15" s="25" t="s">
        <v>37</v>
      </c>
      <c r="D15" s="25"/>
      <c r="E15" s="26"/>
      <c r="F15" s="24"/>
      <c r="G15" s="25"/>
      <c r="H15" s="25"/>
      <c r="I15" s="25"/>
      <c r="J15" s="27"/>
    </row>
    <row r="16">
      <c r="A16" s="24"/>
      <c r="G16" s="25"/>
      <c r="H16" s="25"/>
      <c r="I16" s="25"/>
      <c r="J16" s="27"/>
    </row>
    <row r="17">
      <c r="A17" s="24"/>
      <c r="C17" s="25" t="s">
        <v>38</v>
      </c>
      <c r="D17" s="25"/>
      <c r="E17" s="26"/>
      <c r="F17" s="24"/>
      <c r="G17" s="25"/>
      <c r="H17" s="25"/>
      <c r="I17" s="25"/>
      <c r="J17" s="27"/>
    </row>
    <row r="18">
      <c r="A18" s="24"/>
      <c r="G18" s="25"/>
      <c r="H18" s="25"/>
      <c r="I18" s="25"/>
      <c r="J18" s="27"/>
    </row>
    <row r="19">
      <c r="A19" s="24"/>
      <c r="C19" s="25" t="s">
        <v>39</v>
      </c>
      <c r="D19" s="25"/>
      <c r="E19" s="26"/>
      <c r="F19" s="24"/>
      <c r="G19" s="25"/>
      <c r="H19" s="25"/>
      <c r="I19" s="25"/>
      <c r="J19" s="27"/>
    </row>
    <row r="20">
      <c r="A20" s="24"/>
      <c r="F20" s="28"/>
      <c r="G20" s="29"/>
      <c r="H20" s="29"/>
      <c r="I20" s="29"/>
      <c r="J20" s="30"/>
    </row>
    <row r="21">
      <c r="A21" s="24"/>
      <c r="B21" s="24" t="s">
        <v>41</v>
      </c>
      <c r="C21" s="25" t="s">
        <v>37</v>
      </c>
      <c r="D21" s="25"/>
      <c r="E21" s="26"/>
      <c r="F21" s="24"/>
      <c r="G21" s="25"/>
      <c r="H21" s="25"/>
      <c r="I21" s="25"/>
      <c r="J21" s="27"/>
    </row>
    <row r="22">
      <c r="A22" s="24"/>
      <c r="G22" s="25"/>
      <c r="H22" s="25"/>
      <c r="I22" s="25"/>
      <c r="J22" s="27"/>
    </row>
    <row r="23">
      <c r="A23" s="24"/>
      <c r="C23" s="25" t="s">
        <v>38</v>
      </c>
      <c r="D23" s="25"/>
      <c r="E23" s="26"/>
      <c r="F23" s="24"/>
      <c r="G23" s="25"/>
      <c r="H23" s="25"/>
      <c r="I23" s="25"/>
      <c r="J23" s="27"/>
    </row>
    <row r="24">
      <c r="A24" s="24"/>
      <c r="G24" s="25"/>
      <c r="H24" s="25"/>
      <c r="I24" s="25"/>
      <c r="J24" s="27"/>
    </row>
    <row r="25">
      <c r="A25" s="24"/>
      <c r="C25" s="25" t="s">
        <v>39</v>
      </c>
      <c r="D25" s="25"/>
      <c r="E25" s="26"/>
      <c r="F25" s="24"/>
      <c r="G25" s="25"/>
      <c r="H25" s="25"/>
      <c r="I25" s="25"/>
      <c r="J25" s="27"/>
    </row>
    <row r="26">
      <c r="A26" s="24"/>
      <c r="F26" s="28"/>
      <c r="G26" s="29"/>
      <c r="H26" s="29"/>
      <c r="I26" s="29"/>
      <c r="J26" s="30"/>
    </row>
    <row r="27">
      <c r="A27" s="24"/>
      <c r="B27" s="24" t="s">
        <v>42</v>
      </c>
      <c r="C27" s="25" t="s">
        <v>37</v>
      </c>
      <c r="D27" s="25"/>
      <c r="E27" s="26"/>
      <c r="F27" s="24"/>
      <c r="G27" s="25"/>
      <c r="H27" s="25"/>
      <c r="I27" s="25"/>
      <c r="J27" s="27"/>
    </row>
    <row r="28">
      <c r="A28" s="24"/>
      <c r="G28" s="25"/>
      <c r="H28" s="25"/>
      <c r="I28" s="25"/>
      <c r="J28" s="27"/>
    </row>
    <row r="29">
      <c r="A29" s="24"/>
      <c r="C29" s="25" t="s">
        <v>38</v>
      </c>
      <c r="D29" s="25"/>
      <c r="E29" s="26"/>
      <c r="F29" s="24"/>
      <c r="G29" s="25"/>
      <c r="H29" s="25"/>
      <c r="I29" s="25"/>
      <c r="J29" s="27"/>
    </row>
    <row r="30">
      <c r="A30" s="24"/>
      <c r="G30" s="25"/>
      <c r="H30" s="25"/>
      <c r="I30" s="25"/>
      <c r="J30" s="27"/>
    </row>
    <row r="31">
      <c r="A31" s="24"/>
      <c r="C31" s="25" t="s">
        <v>39</v>
      </c>
      <c r="D31" s="25"/>
      <c r="E31" s="26"/>
      <c r="F31" s="24"/>
      <c r="G31" s="25"/>
      <c r="H31" s="25"/>
      <c r="I31" s="25"/>
      <c r="J31" s="27"/>
    </row>
    <row r="32">
      <c r="A32" s="24"/>
      <c r="F32" s="28"/>
      <c r="G32" s="29"/>
      <c r="H32" s="29"/>
      <c r="I32" s="29"/>
      <c r="J32" s="30"/>
    </row>
    <row r="33">
      <c r="A33" s="24"/>
      <c r="B33" s="24" t="s">
        <v>43</v>
      </c>
      <c r="C33" s="25" t="s">
        <v>37</v>
      </c>
      <c r="D33" s="25"/>
      <c r="E33" s="26"/>
      <c r="F33" s="24"/>
      <c r="G33" s="25"/>
      <c r="H33" s="25"/>
      <c r="I33" s="25"/>
      <c r="J33" s="27"/>
    </row>
    <row r="34">
      <c r="A34" s="24"/>
      <c r="G34" s="25"/>
      <c r="H34" s="25"/>
      <c r="I34" s="25"/>
      <c r="J34" s="27"/>
    </row>
    <row r="35">
      <c r="A35" s="24"/>
      <c r="C35" s="25" t="s">
        <v>38</v>
      </c>
      <c r="D35" s="25"/>
      <c r="E35" s="26"/>
      <c r="F35" s="24"/>
      <c r="G35" s="25"/>
      <c r="H35" s="25"/>
      <c r="I35" s="25"/>
      <c r="J35" s="27"/>
    </row>
    <row r="36">
      <c r="A36" s="24"/>
      <c r="G36" s="25"/>
      <c r="H36" s="25"/>
      <c r="I36" s="25"/>
      <c r="J36" s="27"/>
    </row>
    <row r="37">
      <c r="A37" s="24"/>
      <c r="C37" s="25" t="s">
        <v>39</v>
      </c>
      <c r="D37" s="25"/>
      <c r="E37" s="26"/>
      <c r="F37" s="24"/>
      <c r="G37" s="25"/>
      <c r="H37" s="25"/>
      <c r="I37" s="25"/>
      <c r="J37" s="27"/>
    </row>
    <row r="38">
      <c r="A38" s="24"/>
      <c r="F38" s="28"/>
      <c r="G38" s="29"/>
      <c r="H38" s="29"/>
      <c r="I38" s="29"/>
      <c r="J38" s="30"/>
    </row>
    <row r="39">
      <c r="A39" s="24"/>
      <c r="B39" s="24" t="s">
        <v>44</v>
      </c>
      <c r="C39" s="25" t="s">
        <v>37</v>
      </c>
      <c r="D39" s="25"/>
      <c r="E39" s="26"/>
      <c r="F39" s="24"/>
      <c r="G39" s="25"/>
      <c r="H39" s="25"/>
      <c r="I39" s="25"/>
      <c r="J39" s="27"/>
    </row>
    <row r="40">
      <c r="A40" s="24"/>
      <c r="G40" s="25"/>
      <c r="H40" s="25"/>
      <c r="I40" s="25"/>
      <c r="J40" s="27"/>
    </row>
    <row r="41">
      <c r="A41" s="24"/>
      <c r="C41" s="25" t="s">
        <v>38</v>
      </c>
      <c r="D41" s="25"/>
      <c r="E41" s="26"/>
      <c r="F41" s="24"/>
      <c r="G41" s="25"/>
      <c r="H41" s="25"/>
      <c r="I41" s="25"/>
      <c r="J41" s="27"/>
    </row>
    <row r="42">
      <c r="A42" s="24"/>
      <c r="G42" s="25"/>
      <c r="H42" s="25"/>
      <c r="I42" s="25"/>
      <c r="J42" s="27"/>
    </row>
    <row r="43">
      <c r="A43" s="24"/>
      <c r="C43" s="25" t="s">
        <v>39</v>
      </c>
      <c r="D43" s="25"/>
      <c r="E43" s="26"/>
      <c r="F43" s="24"/>
      <c r="G43" s="25"/>
      <c r="H43" s="25"/>
      <c r="I43" s="25"/>
      <c r="J43" s="27"/>
    </row>
    <row r="44">
      <c r="A44" s="24"/>
      <c r="F44" s="28"/>
      <c r="G44" s="29"/>
      <c r="H44" s="29"/>
      <c r="I44" s="29"/>
      <c r="J44" s="30"/>
    </row>
    <row r="45">
      <c r="A45" s="24"/>
      <c r="B45" s="24" t="s">
        <v>45</v>
      </c>
      <c r="C45" s="25" t="s">
        <v>37</v>
      </c>
      <c r="D45" s="25"/>
      <c r="E45" s="26"/>
      <c r="F45" s="24"/>
      <c r="G45" s="25"/>
      <c r="H45" s="25"/>
      <c r="I45" s="25"/>
      <c r="J45" s="27"/>
    </row>
    <row r="46">
      <c r="A46" s="24"/>
      <c r="G46" s="25"/>
      <c r="H46" s="25"/>
      <c r="I46" s="25"/>
      <c r="J46" s="27"/>
    </row>
    <row r="47">
      <c r="A47" s="24"/>
      <c r="C47" s="25" t="s">
        <v>38</v>
      </c>
      <c r="D47" s="25"/>
      <c r="E47" s="26"/>
      <c r="F47" s="24"/>
      <c r="G47" s="25"/>
      <c r="H47" s="25"/>
      <c r="I47" s="25"/>
      <c r="J47" s="27"/>
    </row>
    <row r="48">
      <c r="A48" s="24"/>
      <c r="G48" s="25"/>
      <c r="H48" s="25"/>
      <c r="I48" s="25"/>
      <c r="J48" s="27"/>
    </row>
    <row r="49">
      <c r="A49" s="24"/>
      <c r="C49" s="25" t="s">
        <v>39</v>
      </c>
      <c r="D49" s="25"/>
      <c r="E49" s="26"/>
      <c r="F49" s="24"/>
      <c r="G49" s="25"/>
      <c r="H49" s="25"/>
      <c r="I49" s="25"/>
      <c r="J49" s="27"/>
    </row>
    <row r="50">
      <c r="A50" s="24"/>
      <c r="F50" s="28"/>
      <c r="G50" s="29"/>
      <c r="H50" s="29"/>
      <c r="I50" s="29"/>
      <c r="J50" s="30"/>
    </row>
    <row r="51">
      <c r="A51" s="24"/>
      <c r="B51" s="24" t="s">
        <v>46</v>
      </c>
      <c r="C51" s="25" t="s">
        <v>37</v>
      </c>
      <c r="D51" s="25"/>
      <c r="E51" s="26"/>
      <c r="F51" s="24"/>
      <c r="G51" s="25"/>
      <c r="H51" s="25"/>
      <c r="I51" s="25"/>
      <c r="J51" s="27"/>
    </row>
    <row r="52">
      <c r="A52" s="24"/>
      <c r="G52" s="25"/>
      <c r="H52" s="25"/>
      <c r="I52" s="25"/>
      <c r="J52" s="27"/>
    </row>
    <row r="53">
      <c r="A53" s="24"/>
      <c r="C53" s="25" t="s">
        <v>38</v>
      </c>
      <c r="D53" s="25"/>
      <c r="E53" s="26"/>
      <c r="F53" s="24"/>
      <c r="G53" s="25"/>
      <c r="H53" s="25"/>
      <c r="I53" s="25"/>
      <c r="J53" s="27"/>
    </row>
    <row r="54">
      <c r="A54" s="24"/>
      <c r="G54" s="25"/>
      <c r="H54" s="25"/>
      <c r="I54" s="25"/>
      <c r="J54" s="27"/>
    </row>
    <row r="55">
      <c r="A55" s="24"/>
      <c r="C55" s="25" t="s">
        <v>39</v>
      </c>
      <c r="D55" s="25"/>
      <c r="E55" s="26"/>
      <c r="F55" s="24"/>
      <c r="G55" s="25"/>
      <c r="H55" s="25"/>
      <c r="I55" s="25"/>
      <c r="J55" s="27"/>
    </row>
    <row r="56">
      <c r="A56" s="24"/>
      <c r="F56" s="28"/>
      <c r="G56" s="29"/>
      <c r="H56" s="29"/>
      <c r="I56" s="29"/>
      <c r="J56" s="30"/>
    </row>
    <row r="57">
      <c r="A57" s="24"/>
      <c r="B57" s="24" t="s">
        <v>47</v>
      </c>
      <c r="C57" s="25" t="s">
        <v>37</v>
      </c>
      <c r="D57" s="25"/>
      <c r="E57" s="26"/>
      <c r="F57" s="24"/>
      <c r="G57" s="25"/>
      <c r="H57" s="25"/>
      <c r="I57" s="25"/>
      <c r="J57" s="27"/>
    </row>
    <row r="58">
      <c r="A58" s="24"/>
      <c r="G58" s="25"/>
      <c r="H58" s="25"/>
      <c r="I58" s="25"/>
      <c r="J58" s="27"/>
    </row>
    <row r="59">
      <c r="A59" s="24"/>
      <c r="C59" s="25" t="s">
        <v>38</v>
      </c>
      <c r="D59" s="25"/>
      <c r="E59" s="26"/>
      <c r="F59" s="24"/>
      <c r="G59" s="25"/>
      <c r="H59" s="25"/>
      <c r="I59" s="25"/>
      <c r="J59" s="27"/>
    </row>
    <row r="60">
      <c r="A60" s="24"/>
      <c r="G60" s="25"/>
      <c r="H60" s="25"/>
      <c r="I60" s="25"/>
      <c r="J60" s="27"/>
    </row>
    <row r="61">
      <c r="A61" s="24"/>
      <c r="C61" s="25" t="s">
        <v>39</v>
      </c>
      <c r="D61" s="25"/>
      <c r="E61" s="26"/>
      <c r="F61" s="24"/>
      <c r="G61" s="25"/>
      <c r="H61" s="25"/>
      <c r="I61" s="25"/>
      <c r="J61" s="27"/>
    </row>
    <row r="62">
      <c r="A62" s="24"/>
      <c r="F62" s="28"/>
      <c r="G62" s="29"/>
      <c r="H62" s="29"/>
      <c r="I62" s="29"/>
      <c r="J62" s="30"/>
    </row>
    <row r="63">
      <c r="A63" s="24"/>
      <c r="B63" s="24" t="s">
        <v>48</v>
      </c>
      <c r="C63" s="25" t="s">
        <v>37</v>
      </c>
      <c r="D63" s="25"/>
      <c r="E63" s="26"/>
      <c r="F63" s="24"/>
      <c r="G63" s="25"/>
      <c r="H63" s="25"/>
      <c r="I63" s="25"/>
      <c r="J63" s="27"/>
    </row>
    <row r="64">
      <c r="A64" s="24"/>
      <c r="G64" s="25"/>
      <c r="H64" s="25"/>
      <c r="I64" s="25"/>
      <c r="J64" s="27"/>
    </row>
    <row r="65">
      <c r="A65" s="24"/>
      <c r="C65" s="25" t="s">
        <v>38</v>
      </c>
      <c r="D65" s="25"/>
      <c r="E65" s="26"/>
      <c r="F65" s="24"/>
      <c r="G65" s="25"/>
      <c r="H65" s="25"/>
      <c r="I65" s="25"/>
      <c r="J65" s="27"/>
    </row>
    <row r="66">
      <c r="A66" s="24"/>
      <c r="G66" s="25"/>
      <c r="H66" s="25"/>
      <c r="I66" s="25"/>
      <c r="J66" s="27"/>
    </row>
    <row r="67">
      <c r="A67" s="24"/>
      <c r="C67" s="25" t="s">
        <v>39</v>
      </c>
      <c r="D67" s="25"/>
      <c r="E67" s="26"/>
      <c r="F67" s="24"/>
      <c r="G67" s="25"/>
      <c r="H67" s="25"/>
      <c r="I67" s="25"/>
      <c r="J67" s="27"/>
    </row>
    <row r="68">
      <c r="A68" s="24"/>
      <c r="F68" s="28"/>
      <c r="G68" s="29"/>
      <c r="H68" s="29"/>
      <c r="I68" s="29"/>
      <c r="J68" s="30"/>
    </row>
  </sheetData>
  <mergeCells count="137">
    <mergeCell ref="C8:D8"/>
    <mergeCell ref="C9:C10"/>
    <mergeCell ref="D9:D10"/>
    <mergeCell ref="E9:E10"/>
    <mergeCell ref="F9:F10"/>
    <mergeCell ref="C11:C12"/>
    <mergeCell ref="D11:D12"/>
    <mergeCell ref="E11:E12"/>
    <mergeCell ref="F11:F12"/>
    <mergeCell ref="E13:E14"/>
    <mergeCell ref="F13:F14"/>
    <mergeCell ref="E15:E16"/>
    <mergeCell ref="F15:F16"/>
    <mergeCell ref="E17:E18"/>
    <mergeCell ref="F17:F18"/>
    <mergeCell ref="A1:F1"/>
    <mergeCell ref="H1:J1"/>
    <mergeCell ref="A2:J2"/>
    <mergeCell ref="A3:D3"/>
    <mergeCell ref="E3:J3"/>
    <mergeCell ref="G4:J4"/>
    <mergeCell ref="B9:B14"/>
    <mergeCell ref="C19:C20"/>
    <mergeCell ref="D19:D20"/>
    <mergeCell ref="E19:E20"/>
    <mergeCell ref="F19:F20"/>
    <mergeCell ref="B33:B38"/>
    <mergeCell ref="B39:B44"/>
    <mergeCell ref="B45:B50"/>
    <mergeCell ref="B51:B56"/>
    <mergeCell ref="B57:B62"/>
    <mergeCell ref="B63:B68"/>
    <mergeCell ref="B27:B32"/>
    <mergeCell ref="C27:C28"/>
    <mergeCell ref="C29:C30"/>
    <mergeCell ref="C31:C32"/>
    <mergeCell ref="C33:C34"/>
    <mergeCell ref="C35:C36"/>
    <mergeCell ref="C37:C38"/>
    <mergeCell ref="C53:C54"/>
    <mergeCell ref="C55:C56"/>
    <mergeCell ref="C57:C58"/>
    <mergeCell ref="C59:C60"/>
    <mergeCell ref="C61:C62"/>
    <mergeCell ref="C63:C64"/>
    <mergeCell ref="C65:C66"/>
    <mergeCell ref="C67:C68"/>
    <mergeCell ref="C39:C40"/>
    <mergeCell ref="C41:C42"/>
    <mergeCell ref="C43:C44"/>
    <mergeCell ref="C45:C46"/>
    <mergeCell ref="C47:C48"/>
    <mergeCell ref="C49:C50"/>
    <mergeCell ref="C51:C52"/>
    <mergeCell ref="C17:C18"/>
    <mergeCell ref="C21:C22"/>
    <mergeCell ref="E21:E22"/>
    <mergeCell ref="F21:F22"/>
    <mergeCell ref="D21:D22"/>
    <mergeCell ref="C23:C24"/>
    <mergeCell ref="D23:D24"/>
    <mergeCell ref="E23:E24"/>
    <mergeCell ref="F23:F24"/>
    <mergeCell ref="C25:C26"/>
    <mergeCell ref="D25:D26"/>
    <mergeCell ref="E25:E26"/>
    <mergeCell ref="F25:F26"/>
    <mergeCell ref="E27:E28"/>
    <mergeCell ref="F27:F28"/>
    <mergeCell ref="C13:C14"/>
    <mergeCell ref="D13:D14"/>
    <mergeCell ref="B15:B20"/>
    <mergeCell ref="C15:C16"/>
    <mergeCell ref="D15:D16"/>
    <mergeCell ref="D17:D18"/>
    <mergeCell ref="B21:B26"/>
    <mergeCell ref="D27:D28"/>
    <mergeCell ref="D29:D30"/>
    <mergeCell ref="E29:E30"/>
    <mergeCell ref="F29:F30"/>
    <mergeCell ref="D31:D32"/>
    <mergeCell ref="E31:E32"/>
    <mergeCell ref="F31:F32"/>
    <mergeCell ref="E37:E38"/>
    <mergeCell ref="F37:F38"/>
    <mergeCell ref="D33:D34"/>
    <mergeCell ref="E33:E34"/>
    <mergeCell ref="F33:F34"/>
    <mergeCell ref="D35:D36"/>
    <mergeCell ref="E35:E36"/>
    <mergeCell ref="F35:F36"/>
    <mergeCell ref="D37:D38"/>
    <mergeCell ref="E61:E62"/>
    <mergeCell ref="F61:F62"/>
    <mergeCell ref="D57:D58"/>
    <mergeCell ref="E57:E58"/>
    <mergeCell ref="F57:F58"/>
    <mergeCell ref="D59:D60"/>
    <mergeCell ref="E59:E60"/>
    <mergeCell ref="F59:F60"/>
    <mergeCell ref="D61:D62"/>
    <mergeCell ref="E43:E44"/>
    <mergeCell ref="F43:F44"/>
    <mergeCell ref="D39:D40"/>
    <mergeCell ref="E39:E40"/>
    <mergeCell ref="F39:F40"/>
    <mergeCell ref="D41:D42"/>
    <mergeCell ref="E41:E42"/>
    <mergeCell ref="F41:F42"/>
    <mergeCell ref="D43:D44"/>
    <mergeCell ref="E49:E50"/>
    <mergeCell ref="F49:F50"/>
    <mergeCell ref="D45:D46"/>
    <mergeCell ref="E45:E46"/>
    <mergeCell ref="F45:F46"/>
    <mergeCell ref="D47:D48"/>
    <mergeCell ref="E47:E48"/>
    <mergeCell ref="F47:F48"/>
    <mergeCell ref="D49:D50"/>
    <mergeCell ref="E55:E56"/>
    <mergeCell ref="F55:F56"/>
    <mergeCell ref="D51:D52"/>
    <mergeCell ref="E51:E52"/>
    <mergeCell ref="F51:F52"/>
    <mergeCell ref="D53:D54"/>
    <mergeCell ref="E53:E54"/>
    <mergeCell ref="F53:F54"/>
    <mergeCell ref="D55:D56"/>
    <mergeCell ref="E67:E68"/>
    <mergeCell ref="F67:F68"/>
    <mergeCell ref="D63:D64"/>
    <mergeCell ref="E63:E64"/>
    <mergeCell ref="F63:F64"/>
    <mergeCell ref="D65:D66"/>
    <mergeCell ref="E65:E66"/>
    <mergeCell ref="F65:F66"/>
    <mergeCell ref="D67:D68"/>
  </mergeCells>
  <dataValidations>
    <dataValidation type="list" allowBlank="1" sqref="E9 E11 E13 E15 E17 E19 E21 E23 E25 E27 E29 E31 E33 E35 E37 E39 E41 E43 E45 E47 E49 E51 E53 E55 E57 E59 E61 E63 E65 E67">
      <formula1>"Summary,Origins,Factuals,Transformations,Experience,n=1,Others,N/A"</formula1>
    </dataValidation>
    <dataValidation type="list" allowBlank="1" sqref="F9 F11 F13 F15 F17 F19 F21 F23 F25 F27 F29 F31 F33 F35 F37 F39 F41 F43 F45 F47 F49 F51 F53 F55 F57 F59 F61 F63 F65 F67">
      <formula1>"Automatically computed answer,Human written answer,Augmented or Combination answer,No answer,Others"</formula1>
    </dataValidation>
    <dataValidation type="list" allowBlank="1" sqref="D9 D11 D13 D15 D17 D19 D21 D23 D25 D27 D29 D31 D33 D35 D37 D39 D41 D43 D45 D47 D49 D51 D53 D55 D57 D59 D61 D63 D65 D67">
      <formula1>"Telescopic,Periscopic,Microscopic"</formula1>
    </dataValidation>
  </dataValidations>
  <hyperlinks>
    <hyperlink r:id="rId1" ref="H1"/>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EA0C"/>
    <outlinePr summaryBelow="0" summaryRight="0"/>
    <pageSetUpPr fitToPage="1"/>
  </sheetPr>
  <sheetViews>
    <sheetView workbookViewId="0"/>
  </sheetViews>
  <sheetFormatPr customHeight="1" defaultColWidth="14.43" defaultRowHeight="15.75"/>
  <cols>
    <col customWidth="1" min="1" max="1" width="31.0"/>
    <col customWidth="1" min="2" max="2" width="52.14"/>
    <col customWidth="1" min="3" max="3" width="50.71"/>
    <col customWidth="1" min="4" max="4" width="57.86"/>
    <col customWidth="1" min="5" max="5" width="52.14"/>
  </cols>
  <sheetData>
    <row r="1" ht="34.5" customHeight="1">
      <c r="A1" s="1" t="s">
        <v>49</v>
      </c>
      <c r="B1" s="1"/>
      <c r="C1" s="1"/>
      <c r="D1" s="1"/>
      <c r="E1" s="1"/>
    </row>
    <row r="2" ht="65.25" customHeight="1">
      <c r="A2" s="31" t="s">
        <v>50</v>
      </c>
      <c r="B2" s="32"/>
      <c r="C2" s="33"/>
      <c r="D2" s="33"/>
      <c r="E2" s="33"/>
    </row>
    <row r="3" ht="168.75" customHeight="1">
      <c r="A3" s="34" t="s">
        <v>51</v>
      </c>
      <c r="B3" s="35" t="s">
        <v>52</v>
      </c>
      <c r="C3" s="36" t="s">
        <v>53</v>
      </c>
      <c r="D3" s="36" t="s">
        <v>54</v>
      </c>
      <c r="E3" s="36" t="s">
        <v>55</v>
      </c>
    </row>
    <row r="4" ht="5.25" customHeight="1">
      <c r="A4" s="37"/>
      <c r="B4" s="37"/>
      <c r="C4" s="37"/>
      <c r="D4" s="37"/>
      <c r="E4" s="37"/>
    </row>
    <row r="5" ht="36.75" customHeight="1">
      <c r="A5" s="38" t="s">
        <v>56</v>
      </c>
      <c r="B5" s="21" t="s">
        <v>57</v>
      </c>
      <c r="C5" s="21" t="s">
        <v>58</v>
      </c>
      <c r="D5" s="21" t="s">
        <v>59</v>
      </c>
      <c r="E5" s="39" t="s">
        <v>60</v>
      </c>
    </row>
    <row r="6" ht="144.75" customHeight="1">
      <c r="A6" s="40" t="s">
        <v>61</v>
      </c>
      <c r="B6" s="41" t="s">
        <v>62</v>
      </c>
      <c r="C6" s="41" t="s">
        <v>63</v>
      </c>
      <c r="D6" s="41" t="s">
        <v>64</v>
      </c>
      <c r="E6" s="41"/>
    </row>
    <row r="7" ht="39.0" customHeight="1">
      <c r="A7" s="42">
        <v>1.0</v>
      </c>
      <c r="B7" s="43" t="s">
        <v>65</v>
      </c>
      <c r="C7" s="44"/>
      <c r="D7" s="44"/>
      <c r="E7" s="44" t="s">
        <v>66</v>
      </c>
    </row>
    <row r="8" ht="39.0" customHeight="1">
      <c r="A8" s="42">
        <v>2.0</v>
      </c>
      <c r="B8" s="43" t="s">
        <v>67</v>
      </c>
      <c r="C8" s="44"/>
      <c r="D8" s="44"/>
      <c r="E8" s="44"/>
    </row>
    <row r="9" ht="39.0" customHeight="1">
      <c r="A9" s="42">
        <v>3.0</v>
      </c>
      <c r="B9" s="43" t="s">
        <v>68</v>
      </c>
      <c r="C9" s="44"/>
      <c r="D9" s="44"/>
      <c r="E9" s="45"/>
    </row>
    <row r="10" ht="39.0" customHeight="1">
      <c r="A10" s="42">
        <v>4.0</v>
      </c>
      <c r="B10" s="43" t="s">
        <v>69</v>
      </c>
      <c r="C10" s="44"/>
      <c r="D10" s="44"/>
      <c r="E10" s="44"/>
    </row>
    <row r="11" ht="39.0" customHeight="1">
      <c r="A11" s="42">
        <v>5.0</v>
      </c>
      <c r="B11" s="43" t="s">
        <v>70</v>
      </c>
      <c r="C11" s="44"/>
      <c r="D11" s="44"/>
      <c r="E11" s="44"/>
    </row>
    <row r="12" ht="39.0" customHeight="1">
      <c r="A12" s="42">
        <v>6.0</v>
      </c>
      <c r="B12" s="44" t="s">
        <v>71</v>
      </c>
      <c r="C12" s="44"/>
      <c r="D12" s="44"/>
      <c r="E12" s="44"/>
    </row>
    <row r="13" ht="39.0" customHeight="1">
      <c r="A13" s="42">
        <v>7.0</v>
      </c>
      <c r="B13" s="44" t="s">
        <v>72</v>
      </c>
      <c r="C13" s="44"/>
      <c r="D13" s="44"/>
      <c r="E13" s="44"/>
    </row>
    <row r="14" ht="39.0" customHeight="1">
      <c r="A14" s="42">
        <v>8.0</v>
      </c>
      <c r="B14" s="44" t="s">
        <v>73</v>
      </c>
      <c r="C14" s="44"/>
      <c r="D14" s="44"/>
      <c r="E14" s="44"/>
    </row>
    <row r="15" ht="39.0" customHeight="1">
      <c r="A15" s="42">
        <v>9.0</v>
      </c>
      <c r="B15" s="44" t="s">
        <v>74</v>
      </c>
      <c r="C15" s="44"/>
      <c r="D15" s="44"/>
      <c r="E15" s="44"/>
    </row>
    <row r="16" ht="39.0" customHeight="1">
      <c r="A16" s="42">
        <v>10.0</v>
      </c>
      <c r="B16" s="44" t="s">
        <v>75</v>
      </c>
      <c r="C16" s="44"/>
      <c r="D16" s="44"/>
      <c r="E16" s="44"/>
    </row>
  </sheetData>
  <dataValidations>
    <dataValidation type="list" allowBlank="1" sqref="C7:C16">
      <formula1>"1 (No Fluency),2 (Limited Fluency),3 (Average Fluency),4 (High Fluency),5 (Expert Fluency)"</formula1>
    </dataValidation>
    <dataValidation type="list" allowBlank="1" sqref="D7:D16">
      <formula1>"1 (No Expertise),2 (Novice),3 (Intermediate),4 (Professional),5 (Domain Expert)"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8D8E"/>
    <outlinePr summaryBelow="0" summaryRight="0"/>
    <pageSetUpPr fitToPage="1"/>
  </sheetPr>
  <sheetViews>
    <sheetView workbookViewId="0"/>
  </sheetViews>
  <sheetFormatPr customHeight="1" defaultColWidth="14.43" defaultRowHeight="15.75"/>
  <cols>
    <col customWidth="1" min="1" max="4" width="52.14"/>
  </cols>
  <sheetData>
    <row r="1" ht="34.5" customHeight="1">
      <c r="A1" s="1" t="s">
        <v>49</v>
      </c>
    </row>
    <row r="2" ht="61.5" customHeight="1">
      <c r="A2" s="31" t="s">
        <v>76</v>
      </c>
      <c r="B2" s="46"/>
      <c r="C2" s="46"/>
      <c r="D2" s="47"/>
    </row>
    <row r="3" ht="27.0" customHeight="1">
      <c r="A3" s="48" t="s">
        <v>51</v>
      </c>
      <c r="D3" s="4"/>
    </row>
    <row r="4" ht="109.5" customHeight="1">
      <c r="A4" s="35" t="s">
        <v>77</v>
      </c>
      <c r="B4" s="36" t="s">
        <v>78</v>
      </c>
      <c r="C4" s="36" t="s">
        <v>79</v>
      </c>
      <c r="D4" s="36" t="s">
        <v>80</v>
      </c>
    </row>
    <row r="5" ht="5.25" customHeight="1">
      <c r="A5" s="37"/>
      <c r="B5" s="37"/>
      <c r="C5" s="37"/>
      <c r="D5" s="37"/>
    </row>
    <row r="6" ht="36.75" customHeight="1">
      <c r="A6" s="38" t="s">
        <v>81</v>
      </c>
      <c r="B6" s="21" t="s">
        <v>82</v>
      </c>
      <c r="C6" s="21" t="s">
        <v>83</v>
      </c>
      <c r="D6" s="39" t="s">
        <v>84</v>
      </c>
    </row>
    <row r="7" ht="223.5" customHeight="1">
      <c r="A7" s="49" t="s">
        <v>85</v>
      </c>
      <c r="B7" s="50" t="s">
        <v>86</v>
      </c>
      <c r="C7" s="51" t="s">
        <v>87</v>
      </c>
      <c r="D7" s="52" t="s">
        <v>88</v>
      </c>
    </row>
    <row r="8" ht="24.0" customHeight="1">
      <c r="A8" s="43" t="s">
        <v>89</v>
      </c>
      <c r="B8" s="43" t="s">
        <v>65</v>
      </c>
      <c r="C8" s="44" t="s">
        <v>90</v>
      </c>
      <c r="D8" s="43" t="s">
        <v>91</v>
      </c>
    </row>
    <row r="9" ht="24.0" customHeight="1">
      <c r="A9" s="43"/>
      <c r="B9" s="43"/>
      <c r="C9" s="44"/>
      <c r="D9" s="43"/>
    </row>
    <row r="10" ht="24.0" customHeight="1">
      <c r="A10" s="43"/>
      <c r="B10" s="43"/>
      <c r="C10" s="44"/>
      <c r="D10" s="43"/>
    </row>
    <row r="11" ht="24.0" customHeight="1">
      <c r="A11" s="43"/>
      <c r="B11" s="43"/>
      <c r="C11" s="44"/>
      <c r="D11" s="43"/>
    </row>
    <row r="12" ht="24.0" customHeight="1">
      <c r="A12" s="43"/>
      <c r="B12" s="43"/>
      <c r="C12" s="44"/>
      <c r="D12" s="43"/>
    </row>
    <row r="13" ht="24.0" customHeight="1">
      <c r="A13" s="43"/>
      <c r="B13" s="43"/>
      <c r="C13" s="44"/>
      <c r="D13" s="43"/>
    </row>
    <row r="14" ht="24.0" customHeight="1">
      <c r="A14" s="43"/>
      <c r="B14" s="43"/>
      <c r="C14" s="44"/>
      <c r="D14" s="43"/>
    </row>
    <row r="15" ht="24.0" customHeight="1">
      <c r="A15" s="43"/>
      <c r="B15" s="43"/>
      <c r="C15" s="44"/>
      <c r="D15" s="43"/>
    </row>
    <row r="16" ht="24.0" customHeight="1">
      <c r="A16" s="43"/>
      <c r="B16" s="43"/>
      <c r="C16" s="44"/>
      <c r="D16" s="43"/>
    </row>
    <row r="17" ht="24.0" customHeight="1">
      <c r="A17" s="43"/>
      <c r="B17" s="43"/>
      <c r="C17" s="44"/>
      <c r="D17" s="43"/>
    </row>
    <row r="18" ht="24.0" customHeight="1">
      <c r="A18" s="43"/>
      <c r="B18" s="43"/>
      <c r="C18" s="53"/>
      <c r="D18" s="54"/>
    </row>
    <row r="19" ht="24.0" customHeight="1">
      <c r="A19" s="43"/>
      <c r="B19" s="43"/>
      <c r="C19" s="53"/>
      <c r="D19" s="54"/>
    </row>
    <row r="20" ht="24.0" customHeight="1">
      <c r="A20" s="43"/>
      <c r="B20" s="43"/>
      <c r="C20" s="53"/>
      <c r="D20" s="54"/>
    </row>
    <row r="21" ht="24.0" customHeight="1">
      <c r="A21" s="43"/>
      <c r="B21" s="43"/>
      <c r="C21" s="53"/>
      <c r="D21" s="54"/>
    </row>
    <row r="22" ht="24.0" customHeight="1">
      <c r="A22" s="43"/>
      <c r="B22" s="43"/>
      <c r="C22" s="53"/>
      <c r="D22" s="54"/>
    </row>
    <row r="23" ht="24.0" customHeight="1">
      <c r="A23" s="43"/>
      <c r="B23" s="43"/>
      <c r="C23" s="53"/>
      <c r="D23" s="54"/>
    </row>
    <row r="24" ht="24.0" customHeight="1">
      <c r="A24" s="43"/>
      <c r="B24" s="43"/>
      <c r="C24" s="53"/>
      <c r="D24" s="54"/>
    </row>
    <row r="25" ht="24.0" customHeight="1">
      <c r="A25" s="43"/>
      <c r="B25" s="43"/>
      <c r="C25" s="53"/>
      <c r="D25" s="54"/>
    </row>
    <row r="26" ht="24.0" customHeight="1">
      <c r="A26" s="43"/>
      <c r="B26" s="43"/>
      <c r="C26" s="53"/>
      <c r="D26" s="54"/>
    </row>
    <row r="27" ht="24.0" customHeight="1">
      <c r="A27" s="43"/>
      <c r="B27" s="43"/>
      <c r="C27" s="53"/>
      <c r="D27" s="54"/>
    </row>
    <row r="28" ht="24.0" customHeight="1">
      <c r="A28" s="43"/>
      <c r="B28" s="43"/>
      <c r="C28" s="53"/>
      <c r="D28" s="54"/>
    </row>
    <row r="29" ht="24.0" customHeight="1">
      <c r="A29" s="43"/>
      <c r="B29" s="43"/>
      <c r="C29" s="53"/>
      <c r="D29" s="54"/>
    </row>
  </sheetData>
  <mergeCells count="3">
    <mergeCell ref="A1:D1"/>
    <mergeCell ref="A2:D2"/>
    <mergeCell ref="A3:D3"/>
  </mergeCells>
  <dataValidations>
    <dataValidation type="list" allowBlank="1" sqref="B8:B29">
      <formula1>'Agents Brainstorm'!$B$7:$B$16</formula1>
    </dataValidation>
    <dataValidation type="list" allowBlank="1" sqref="A8:A29">
      <formula1>"Origins,Factuals,Transformations,Experience,N=1,Other,N/A"</formula1>
    </dataValidation>
    <dataValidation type="list" allowBlank="1" sqref="D8:D29">
      <formula1>"Very important or essential,Somewhat important,Slightly important"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8D8E"/>
    <outlinePr summaryBelow="0" summaryRight="0"/>
    <pageSetUpPr fitToPage="1"/>
  </sheetPr>
  <sheetViews>
    <sheetView workbookViewId="0"/>
  </sheetViews>
  <sheetFormatPr customHeight="1" defaultColWidth="14.43" defaultRowHeight="15.75"/>
  <cols>
    <col customWidth="1" min="1" max="1" width="65.14"/>
    <col customWidth="1" min="2" max="2" width="65.86"/>
    <col customWidth="1" min="3" max="3" width="42.71"/>
    <col customWidth="1" min="4" max="4" width="63.43"/>
  </cols>
  <sheetData>
    <row r="1" ht="34.5" customHeight="1">
      <c r="A1" s="1" t="s">
        <v>49</v>
      </c>
    </row>
    <row r="2" ht="69.75" customHeight="1">
      <c r="A2" s="31" t="s">
        <v>92</v>
      </c>
      <c r="B2" s="46"/>
      <c r="C2" s="46"/>
      <c r="D2" s="47"/>
    </row>
    <row r="3" ht="34.5" customHeight="1">
      <c r="A3" s="55" t="s">
        <v>51</v>
      </c>
      <c r="D3" s="4"/>
    </row>
    <row r="4" ht="114.0" customHeight="1">
      <c r="A4" s="56" t="s">
        <v>93</v>
      </c>
      <c r="B4" s="36" t="s">
        <v>94</v>
      </c>
      <c r="C4" s="57" t="s">
        <v>95</v>
      </c>
      <c r="D4" s="36" t="s">
        <v>96</v>
      </c>
    </row>
    <row r="5" ht="5.25" customHeight="1">
      <c r="A5" s="37"/>
      <c r="B5" s="37"/>
      <c r="C5" s="37"/>
      <c r="D5" s="37"/>
    </row>
    <row r="6" ht="42.0" customHeight="1">
      <c r="A6" s="58" t="s">
        <v>97</v>
      </c>
      <c r="B6" s="59" t="s">
        <v>98</v>
      </c>
      <c r="C6" s="59" t="s">
        <v>99</v>
      </c>
      <c r="D6" s="60" t="s">
        <v>84</v>
      </c>
    </row>
    <row r="7" ht="135.75" customHeight="1">
      <c r="A7" s="22" t="s">
        <v>100</v>
      </c>
      <c r="B7" s="22" t="s">
        <v>101</v>
      </c>
      <c r="D7" s="61" t="s">
        <v>102</v>
      </c>
    </row>
    <row r="8" ht="24.0" customHeight="1">
      <c r="A8" s="44" t="s">
        <v>103</v>
      </c>
      <c r="B8" s="44" t="s">
        <v>104</v>
      </c>
      <c r="C8" s="44"/>
      <c r="D8" s="43"/>
    </row>
    <row r="9" ht="24.0" customHeight="1">
      <c r="B9" s="44" t="s">
        <v>105</v>
      </c>
      <c r="C9" s="44"/>
      <c r="D9" s="43"/>
    </row>
    <row r="10" ht="24.0" customHeight="1">
      <c r="B10" s="44" t="s">
        <v>106</v>
      </c>
      <c r="C10" s="44"/>
      <c r="D10" s="43"/>
    </row>
    <row r="11" ht="24.0" customHeight="1">
      <c r="A11" s="44"/>
      <c r="B11" s="44" t="s">
        <v>104</v>
      </c>
      <c r="C11" s="44"/>
      <c r="D11" s="43"/>
    </row>
    <row r="12" ht="24.0" customHeight="1">
      <c r="B12" s="44" t="s">
        <v>105</v>
      </c>
      <c r="C12" s="44"/>
      <c r="D12" s="43"/>
    </row>
    <row r="13" ht="24.0" customHeight="1">
      <c r="B13" s="44" t="s">
        <v>106</v>
      </c>
      <c r="C13" s="44"/>
      <c r="D13" s="43"/>
    </row>
    <row r="14" ht="24.0" customHeight="1">
      <c r="A14" s="44"/>
      <c r="B14" s="44" t="s">
        <v>104</v>
      </c>
      <c r="C14" s="44"/>
      <c r="D14" s="54"/>
    </row>
    <row r="15" ht="24.0" customHeight="1">
      <c r="B15" s="44" t="s">
        <v>105</v>
      </c>
      <c r="C15" s="44"/>
      <c r="D15" s="54"/>
    </row>
    <row r="16" ht="24.0" customHeight="1">
      <c r="B16" s="44" t="s">
        <v>106</v>
      </c>
      <c r="C16" s="44"/>
      <c r="D16" s="54"/>
    </row>
    <row r="17" ht="24.0" customHeight="1">
      <c r="A17" s="44"/>
      <c r="B17" s="44" t="s">
        <v>104</v>
      </c>
      <c r="C17" s="44"/>
      <c r="D17" s="54"/>
    </row>
    <row r="18" ht="24.0" customHeight="1">
      <c r="B18" s="44" t="s">
        <v>105</v>
      </c>
      <c r="C18" s="44"/>
      <c r="D18" s="54"/>
    </row>
    <row r="19" ht="24.0" customHeight="1">
      <c r="B19" s="44" t="s">
        <v>106</v>
      </c>
      <c r="C19" s="44"/>
      <c r="D19" s="54"/>
    </row>
    <row r="20" ht="24.0" customHeight="1">
      <c r="A20" s="44"/>
      <c r="B20" s="44" t="s">
        <v>104</v>
      </c>
      <c r="C20" s="44"/>
      <c r="D20" s="54"/>
    </row>
    <row r="21" ht="24.0" customHeight="1">
      <c r="B21" s="44" t="s">
        <v>105</v>
      </c>
      <c r="C21" s="44"/>
      <c r="D21" s="54"/>
    </row>
    <row r="22" ht="24.0" customHeight="1">
      <c r="B22" s="44" t="s">
        <v>106</v>
      </c>
      <c r="C22" s="44"/>
      <c r="D22" s="54"/>
    </row>
    <row r="23" ht="24.0" customHeight="1">
      <c r="A23" s="44"/>
      <c r="B23" s="44" t="s">
        <v>104</v>
      </c>
      <c r="C23" s="44"/>
      <c r="D23" s="54"/>
    </row>
    <row r="24" ht="24.0" customHeight="1">
      <c r="B24" s="44" t="s">
        <v>105</v>
      </c>
      <c r="C24" s="44"/>
      <c r="D24" s="54"/>
    </row>
    <row r="25" ht="24.0" customHeight="1">
      <c r="B25" s="44" t="s">
        <v>106</v>
      </c>
      <c r="C25" s="44"/>
      <c r="D25" s="54"/>
    </row>
    <row r="26" ht="24.0" customHeight="1">
      <c r="A26" s="44"/>
      <c r="B26" s="44" t="s">
        <v>104</v>
      </c>
      <c r="C26" s="44"/>
      <c r="D26" s="54"/>
    </row>
    <row r="27" ht="24.0" customHeight="1">
      <c r="B27" s="44" t="s">
        <v>105</v>
      </c>
      <c r="C27" s="44"/>
      <c r="D27" s="54"/>
    </row>
    <row r="28" ht="24.0" customHeight="1">
      <c r="B28" s="44" t="s">
        <v>106</v>
      </c>
      <c r="C28" s="44"/>
      <c r="D28" s="54"/>
    </row>
    <row r="29" ht="24.0" customHeight="1">
      <c r="A29" s="44"/>
      <c r="B29" s="44" t="s">
        <v>104</v>
      </c>
      <c r="C29" s="44"/>
      <c r="D29" s="54"/>
    </row>
    <row r="30" ht="24.0" customHeight="1">
      <c r="B30" s="44" t="s">
        <v>105</v>
      </c>
      <c r="C30" s="44"/>
      <c r="D30" s="54"/>
    </row>
    <row r="31" ht="24.0" customHeight="1">
      <c r="B31" s="44" t="s">
        <v>106</v>
      </c>
      <c r="C31" s="44"/>
      <c r="D31" s="54"/>
    </row>
    <row r="32" ht="24.0" customHeight="1">
      <c r="A32" s="44"/>
      <c r="B32" s="44" t="s">
        <v>104</v>
      </c>
      <c r="C32" s="44"/>
      <c r="D32" s="54"/>
    </row>
    <row r="33" ht="24.0" customHeight="1">
      <c r="B33" s="44" t="s">
        <v>105</v>
      </c>
      <c r="C33" s="44"/>
      <c r="D33" s="54"/>
    </row>
    <row r="34" ht="24.0" customHeight="1">
      <c r="B34" s="44" t="s">
        <v>106</v>
      </c>
      <c r="C34" s="44"/>
      <c r="D34" s="54"/>
    </row>
    <row r="35" ht="24.0" customHeight="1">
      <c r="A35" s="44"/>
      <c r="B35" s="44" t="s">
        <v>104</v>
      </c>
      <c r="C35" s="44"/>
      <c r="D35" s="43"/>
    </row>
    <row r="36" ht="24.0" customHeight="1">
      <c r="B36" s="44" t="s">
        <v>105</v>
      </c>
      <c r="C36" s="44"/>
      <c r="D36" s="43"/>
    </row>
    <row r="37" ht="24.0" customHeight="1">
      <c r="B37" s="44" t="s">
        <v>106</v>
      </c>
      <c r="C37" s="44"/>
      <c r="D37" s="43"/>
    </row>
    <row r="38" ht="24.0" customHeight="1">
      <c r="A38" s="44"/>
      <c r="B38" s="44" t="s">
        <v>104</v>
      </c>
      <c r="C38" s="44"/>
      <c r="D38" s="43"/>
    </row>
    <row r="39" ht="24.0" customHeight="1">
      <c r="B39" s="44" t="s">
        <v>105</v>
      </c>
      <c r="C39" s="44"/>
      <c r="D39" s="43"/>
    </row>
    <row r="40" ht="24.0" customHeight="1">
      <c r="B40" s="44" t="s">
        <v>106</v>
      </c>
      <c r="C40" s="44"/>
      <c r="D40" s="43"/>
    </row>
    <row r="41" ht="24.0" customHeight="1">
      <c r="A41" s="62"/>
      <c r="B41" s="63" t="s">
        <v>104</v>
      </c>
      <c r="C41" s="63"/>
      <c r="D41" s="62"/>
    </row>
    <row r="42" ht="24.0" customHeight="1">
      <c r="B42" s="63" t="s">
        <v>105</v>
      </c>
      <c r="C42" s="63"/>
      <c r="D42" s="62"/>
    </row>
    <row r="43" ht="24.0" customHeight="1">
      <c r="B43" s="63" t="s">
        <v>106</v>
      </c>
      <c r="C43" s="63"/>
      <c r="D43" s="62"/>
    </row>
  </sheetData>
  <mergeCells count="16">
    <mergeCell ref="A1:D1"/>
    <mergeCell ref="A2:D2"/>
    <mergeCell ref="A3:D3"/>
    <mergeCell ref="B7:C7"/>
    <mergeCell ref="A8:A10"/>
    <mergeCell ref="A11:A13"/>
    <mergeCell ref="A14:A16"/>
    <mergeCell ref="A38:A40"/>
    <mergeCell ref="A41:A43"/>
    <mergeCell ref="A17:A19"/>
    <mergeCell ref="A20:A22"/>
    <mergeCell ref="A23:A25"/>
    <mergeCell ref="A26:A28"/>
    <mergeCell ref="A29:A31"/>
    <mergeCell ref="A32:A34"/>
    <mergeCell ref="A35:A37"/>
  </mergeCells>
  <dataValidations>
    <dataValidation type="list" allowBlank="1" sqref="D8:D43">
      <formula1>"Very important or essential,Somewhat important,Slightly important"</formula1>
    </dataValidation>
    <dataValidation type="list" allowBlank="1" sqref="C8:C43">
      <formula1>"Telescopic,Periscopic,Microscopic"</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EA0C"/>
    <outlinePr summaryBelow="0" summaryRight="0"/>
    <pageSetUpPr fitToPage="1"/>
  </sheetPr>
  <sheetViews>
    <sheetView workbookViewId="0"/>
  </sheetViews>
  <sheetFormatPr customHeight="1" defaultColWidth="14.43" defaultRowHeight="15.75"/>
  <cols>
    <col customWidth="1" min="1" max="1" width="54.57"/>
    <col customWidth="1" min="2" max="2" width="49.0"/>
    <col customWidth="1" min="3" max="4" width="71.14"/>
  </cols>
  <sheetData>
    <row r="1" ht="34.5" customHeight="1">
      <c r="A1" s="1" t="s">
        <v>107</v>
      </c>
      <c r="D1" s="64"/>
    </row>
    <row r="2" ht="58.5" customHeight="1">
      <c r="A2" s="31" t="s">
        <v>108</v>
      </c>
      <c r="B2" s="46"/>
      <c r="C2" s="47"/>
      <c r="D2" s="65"/>
    </row>
    <row r="3" ht="139.5" customHeight="1">
      <c r="A3" s="34" t="s">
        <v>51</v>
      </c>
      <c r="B3" s="56" t="s">
        <v>109</v>
      </c>
      <c r="C3" s="56" t="s">
        <v>110</v>
      </c>
      <c r="D3" s="56" t="s">
        <v>111</v>
      </c>
    </row>
    <row r="4" ht="5.25" customHeight="1">
      <c r="A4" s="37"/>
      <c r="B4" s="37"/>
      <c r="C4" s="37"/>
      <c r="D4" s="37"/>
    </row>
    <row r="5" ht="36.75" customHeight="1">
      <c r="A5" s="66" t="s">
        <v>112</v>
      </c>
      <c r="B5" s="67" t="s">
        <v>113</v>
      </c>
      <c r="C5" s="67" t="s">
        <v>114</v>
      </c>
      <c r="D5" s="67" t="s">
        <v>115</v>
      </c>
    </row>
    <row r="6" ht="151.5" customHeight="1">
      <c r="A6" s="68" t="s">
        <v>116</v>
      </c>
      <c r="B6" s="50" t="s">
        <v>117</v>
      </c>
      <c r="C6" s="50" t="s">
        <v>118</v>
      </c>
      <c r="D6" s="50" t="s">
        <v>119</v>
      </c>
    </row>
    <row r="7" ht="27.0" customHeight="1">
      <c r="A7" s="69" t="s">
        <v>120</v>
      </c>
      <c r="B7" s="70"/>
      <c r="C7" s="70"/>
      <c r="D7" s="70"/>
    </row>
    <row r="8" ht="27.0" customHeight="1">
      <c r="A8" s="69" t="s">
        <v>121</v>
      </c>
      <c r="B8" s="70"/>
      <c r="C8" s="70"/>
      <c r="D8" s="70"/>
    </row>
    <row r="9" ht="27.0" customHeight="1">
      <c r="A9" s="69" t="s">
        <v>122</v>
      </c>
      <c r="B9" s="70"/>
      <c r="C9" s="70"/>
      <c r="D9" s="70"/>
    </row>
    <row r="10" ht="27.0" customHeight="1">
      <c r="A10" s="69" t="s">
        <v>123</v>
      </c>
      <c r="B10" s="70"/>
      <c r="C10" s="70"/>
      <c r="D10" s="70"/>
    </row>
    <row r="11" ht="27.0" customHeight="1">
      <c r="A11" s="69" t="s">
        <v>124</v>
      </c>
      <c r="B11" s="70"/>
      <c r="C11" s="70"/>
      <c r="D11" s="70"/>
    </row>
  </sheetData>
  <mergeCells count="2">
    <mergeCell ref="A1:C1"/>
    <mergeCell ref="A2:C2"/>
  </mergeCells>
  <dataValidations>
    <dataValidation type="list" allowBlank="1" sqref="B7:B11">
      <formula1>"Poor,Borderline,Average,Solid,Outstanding"</formula1>
    </dataValidation>
    <dataValidation type="list" allowBlank="1" sqref="C7:C11">
      <formula1>"1 (No Fluency),2 (Limited Fluency),3 (Average Fluency),4 (High Fluency),5 (Expert Fluency)"</formula1>
    </dataValidation>
    <dataValidation type="list" allowBlank="1" sqref="D7:D11">
      <formula1>"1 (No Expertise),2 (Novice),3 (Intermediate),4 (Professional),5 (Domain Expert)"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EA0C"/>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75"/>
  <cols>
    <col customWidth="1" min="1" max="1" width="19.71"/>
    <col customWidth="1" min="2" max="6" width="39.0"/>
  </cols>
  <sheetData>
    <row r="1" ht="34.5" customHeight="1">
      <c r="A1" s="71" t="s">
        <v>107</v>
      </c>
    </row>
    <row r="2" ht="58.5" customHeight="1">
      <c r="A2" s="72" t="s">
        <v>125</v>
      </c>
      <c r="B2" s="46"/>
      <c r="C2" s="46"/>
      <c r="D2" s="46"/>
      <c r="E2" s="46"/>
      <c r="F2" s="47"/>
    </row>
    <row r="3" ht="139.5" customHeight="1">
      <c r="A3" s="73" t="s">
        <v>126</v>
      </c>
      <c r="B3" s="74" t="s">
        <v>127</v>
      </c>
      <c r="C3" s="74" t="s">
        <v>128</v>
      </c>
      <c r="D3" s="75" t="s">
        <v>129</v>
      </c>
      <c r="E3" s="76"/>
      <c r="F3" s="76"/>
    </row>
    <row r="4" ht="5.25" customHeight="1">
      <c r="A4" s="77"/>
      <c r="B4" s="77"/>
      <c r="C4" s="77"/>
      <c r="D4" s="77"/>
      <c r="E4" s="77"/>
      <c r="F4" s="77"/>
    </row>
    <row r="5" ht="36.75" customHeight="1">
      <c r="A5" s="78" t="s">
        <v>130</v>
      </c>
      <c r="B5" s="78" t="str">
        <f>'Agents Brainstorm'!B7</f>
        <v>Agent 1 (eg. ML developer)</v>
      </c>
      <c r="C5" s="78" t="str">
        <f>'Agents Brainstorm'!B8</f>
        <v>Agent 2</v>
      </c>
      <c r="D5" s="78" t="str">
        <f>'Agents Brainstorm'!B9</f>
        <v>Agent 3</v>
      </c>
      <c r="E5" s="78" t="str">
        <f>'Agents Brainstorm'!B10</f>
        <v>Agent 4</v>
      </c>
      <c r="F5" s="78" t="str">
        <f>'Agents Brainstorm'!B11</f>
        <v>Agent 5</v>
      </c>
    </row>
    <row r="6" ht="24.75" customHeight="1">
      <c r="A6" s="79">
        <v>1.0</v>
      </c>
      <c r="B6" s="43"/>
      <c r="C6" s="43"/>
      <c r="D6" s="43"/>
      <c r="E6" s="43"/>
      <c r="F6" s="43"/>
    </row>
    <row r="7" ht="24.75" customHeight="1">
      <c r="A7" s="79">
        <v>2.0</v>
      </c>
      <c r="B7" s="43"/>
      <c r="C7" s="43"/>
      <c r="D7" s="43"/>
      <c r="E7" s="43"/>
      <c r="F7" s="43"/>
    </row>
    <row r="8" ht="24.75" customHeight="1">
      <c r="A8" s="79">
        <v>3.0</v>
      </c>
      <c r="B8" s="43"/>
      <c r="C8" s="43"/>
      <c r="D8" s="43"/>
      <c r="E8" s="43"/>
      <c r="F8" s="43"/>
    </row>
    <row r="9" ht="24.75" customHeight="1">
      <c r="A9" s="79">
        <v>4.0</v>
      </c>
      <c r="B9" s="43"/>
      <c r="C9" s="43"/>
      <c r="D9" s="43"/>
      <c r="E9" s="43"/>
      <c r="F9" s="43"/>
    </row>
    <row r="10" ht="24.75" customHeight="1">
      <c r="A10" s="79">
        <v>5.0</v>
      </c>
      <c r="B10" s="43"/>
      <c r="C10" s="43"/>
      <c r="D10" s="43"/>
      <c r="E10" s="43"/>
      <c r="F10" s="43"/>
    </row>
    <row r="11" ht="9.0" customHeight="1">
      <c r="A11" s="80"/>
      <c r="B11" s="81"/>
      <c r="C11" s="81"/>
      <c r="D11" s="81"/>
      <c r="E11" s="81"/>
      <c r="F11" s="81"/>
    </row>
    <row r="12">
      <c r="A12" s="82"/>
      <c r="B12" s="83" t="s">
        <v>131</v>
      </c>
      <c r="C12" s="83" t="s">
        <v>131</v>
      </c>
      <c r="D12" s="83" t="s">
        <v>131</v>
      </c>
      <c r="E12" s="83" t="s">
        <v>131</v>
      </c>
      <c r="F12" s="83" t="s">
        <v>131</v>
      </c>
    </row>
    <row r="13">
      <c r="A13" s="84"/>
      <c r="B13" s="85" t="str">
        <f>IFERROR(__xludf.DUMMYFUNCTION("ifna(sort(filter('Input Dimensions Worksheet'!$A7:$A11,countif(B6:B10,'Input Dimensions Worksheet'!$A7:$A11)=0)))"),"Accountability")</f>
        <v>Accountability</v>
      </c>
      <c r="C13" s="85" t="str">
        <f>IFERROR(__xludf.DUMMYFUNCTION("ifna(sort(filter('Input Dimensions Worksheet'!$A7:$A11,countif(C6:C10,'Input Dimensions Worksheet'!$A7:$A11)=0)))"),"Accountability")</f>
        <v>Accountability</v>
      </c>
      <c r="D13" s="85" t="str">
        <f>IFERROR(__xludf.DUMMYFUNCTION("ifna(sort(filter('Input Dimensions Worksheet'!$A7:$A11,countif(D6:D10,'Input Dimensions Worksheet'!$A7:$A11)=0)))"),"Accountability")</f>
        <v>Accountability</v>
      </c>
      <c r="E13" s="85" t="str">
        <f>IFERROR(__xludf.DUMMYFUNCTION("ifna(sort(filter('Input Dimensions Worksheet'!$A7:$A11,countif(E6:E10,'Input Dimensions Worksheet'!$A7:$A11)=0)))"),"Accountability")</f>
        <v>Accountability</v>
      </c>
      <c r="F13" s="85" t="str">
        <f>IFERROR(__xludf.DUMMYFUNCTION("ifna(sort(filter('Input Dimensions Worksheet'!$A7:$A11,countif(F6:F10,'Input Dimensions Worksheet'!$A7:$A11)=0)))"),"Accountability")</f>
        <v>Accountability</v>
      </c>
    </row>
    <row r="14">
      <c r="A14" s="84"/>
      <c r="B14" s="85" t="str">
        <f>IFERROR(__xludf.DUMMYFUNCTION("""COMPUTED_VALUE"""),"Impact &amp; Consequences")</f>
        <v>Impact &amp; Consequences</v>
      </c>
      <c r="C14" s="85" t="str">
        <f>IFERROR(__xludf.DUMMYFUNCTION("""COMPUTED_VALUE"""),"Impact &amp; Consequences")</f>
        <v>Impact &amp; Consequences</v>
      </c>
      <c r="D14" s="85" t="str">
        <f>IFERROR(__xludf.DUMMYFUNCTION("""COMPUTED_VALUE"""),"Impact &amp; Consequences")</f>
        <v>Impact &amp; Consequences</v>
      </c>
      <c r="E14" s="85" t="str">
        <f>IFERROR(__xludf.DUMMYFUNCTION("""COMPUTED_VALUE"""),"Impact &amp; Consequences")</f>
        <v>Impact &amp; Consequences</v>
      </c>
      <c r="F14" s="85" t="str">
        <f>IFERROR(__xludf.DUMMYFUNCTION("""COMPUTED_VALUE"""),"Impact &amp; Consequences")</f>
        <v>Impact &amp; Consequences</v>
      </c>
    </row>
    <row r="15">
      <c r="A15" s="84"/>
      <c r="B15" s="85" t="str">
        <f>IFERROR(__xludf.DUMMYFUNCTION("""COMPUTED_VALUE"""),"Quality")</f>
        <v>Quality</v>
      </c>
      <c r="C15" s="85" t="str">
        <f>IFERROR(__xludf.DUMMYFUNCTION("""COMPUTED_VALUE"""),"Quality")</f>
        <v>Quality</v>
      </c>
      <c r="D15" s="85" t="str">
        <f>IFERROR(__xludf.DUMMYFUNCTION("""COMPUTED_VALUE"""),"Quality")</f>
        <v>Quality</v>
      </c>
      <c r="E15" s="85" t="str">
        <f>IFERROR(__xludf.DUMMYFUNCTION("""COMPUTED_VALUE"""),"Quality")</f>
        <v>Quality</v>
      </c>
      <c r="F15" s="85" t="str">
        <f>IFERROR(__xludf.DUMMYFUNCTION("""COMPUTED_VALUE"""),"Quality")</f>
        <v>Quality</v>
      </c>
    </row>
    <row r="16">
      <c r="A16" s="84"/>
      <c r="B16" s="85" t="str">
        <f>IFERROR(__xludf.DUMMYFUNCTION("""COMPUTED_VALUE"""),"Risk &amp; Recommendations")</f>
        <v>Risk &amp; Recommendations</v>
      </c>
      <c r="C16" s="85" t="str">
        <f>IFERROR(__xludf.DUMMYFUNCTION("""COMPUTED_VALUE"""),"Risk &amp; Recommendations")</f>
        <v>Risk &amp; Recommendations</v>
      </c>
      <c r="D16" s="85" t="str">
        <f>IFERROR(__xludf.DUMMYFUNCTION("""COMPUTED_VALUE"""),"Risk &amp; Recommendations")</f>
        <v>Risk &amp; Recommendations</v>
      </c>
      <c r="E16" s="85" t="str">
        <f>IFERROR(__xludf.DUMMYFUNCTION("""COMPUTED_VALUE"""),"Risk &amp; Recommendations")</f>
        <v>Risk &amp; Recommendations</v>
      </c>
      <c r="F16" s="85" t="str">
        <f>IFERROR(__xludf.DUMMYFUNCTION("""COMPUTED_VALUE"""),"Risk &amp; Recommendations")</f>
        <v>Risk &amp; Recommendations</v>
      </c>
    </row>
    <row r="17">
      <c r="A17" s="84"/>
      <c r="B17" s="85" t="str">
        <f>IFERROR(__xludf.DUMMYFUNCTION("""COMPUTED_VALUE"""),"Use &amp; Utility")</f>
        <v>Use &amp; Utility</v>
      </c>
      <c r="C17" s="85" t="str">
        <f>IFERROR(__xludf.DUMMYFUNCTION("""COMPUTED_VALUE"""),"Use &amp; Utility")</f>
        <v>Use &amp; Utility</v>
      </c>
      <c r="D17" s="85" t="str">
        <f>IFERROR(__xludf.DUMMYFUNCTION("""COMPUTED_VALUE"""),"Use &amp; Utility")</f>
        <v>Use &amp; Utility</v>
      </c>
      <c r="E17" s="85" t="str">
        <f>IFERROR(__xludf.DUMMYFUNCTION("""COMPUTED_VALUE"""),"Use &amp; Utility")</f>
        <v>Use &amp; Utility</v>
      </c>
      <c r="F17" s="85" t="str">
        <f>IFERROR(__xludf.DUMMYFUNCTION("""COMPUTED_VALUE"""),"Use &amp; Utility")</f>
        <v>Use &amp; Utility</v>
      </c>
    </row>
    <row r="18">
      <c r="A18" s="84"/>
      <c r="B18" s="85"/>
      <c r="C18" s="85"/>
      <c r="D18" s="85"/>
      <c r="E18" s="85"/>
      <c r="F18" s="85"/>
    </row>
    <row r="19">
      <c r="A19" s="84"/>
      <c r="B19" s="85"/>
      <c r="C19" s="85"/>
      <c r="D19" s="85"/>
      <c r="E19" s="85"/>
      <c r="F19" s="85"/>
    </row>
    <row r="20">
      <c r="A20" s="84"/>
      <c r="B20" s="85"/>
      <c r="C20" s="85"/>
      <c r="D20" s="85"/>
      <c r="E20" s="85"/>
      <c r="F20" s="85"/>
    </row>
    <row r="21">
      <c r="A21" s="84"/>
      <c r="B21" s="85"/>
      <c r="C21" s="85"/>
      <c r="D21" s="85"/>
      <c r="E21" s="85"/>
      <c r="F21" s="85"/>
    </row>
  </sheetData>
  <mergeCells count="2">
    <mergeCell ref="A1:F1"/>
    <mergeCell ref="A2:F2"/>
  </mergeCells>
  <conditionalFormatting sqref="B11:B21 F11:F21 C12:C21 D12:E13">
    <cfRule type="cellIs" dxfId="0" priority="1" operator="equal">
      <formula>"Done!"</formula>
    </cfRule>
  </conditionalFormatting>
  <conditionalFormatting sqref="B11:B21 F11:F21 C12:C21 D12:E13">
    <cfRule type="containsText" dxfId="1" priority="2" operator="containsText" text="Please">
      <formula>NOT(ISERROR(SEARCH(("Please"),(B11))))</formula>
    </cfRule>
  </conditionalFormatting>
  <dataValidations>
    <dataValidation type="list" allowBlank="1" sqref="B6:F10">
      <formula1>'Input Dimensions Worksheet'!$A$7:$A$11</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4.43" defaultRowHeight="15.75"/>
  <cols>
    <col customWidth="1" min="1" max="1" width="28.29"/>
    <col customWidth="1" min="2" max="2" width="33.43"/>
    <col customWidth="1" min="3" max="3" width="16.0"/>
    <col customWidth="1" min="4" max="4" width="6.29"/>
    <col customWidth="1" min="5" max="5" width="16.0"/>
    <col customWidth="1" min="6" max="6" width="6.29"/>
    <col customWidth="1" min="7" max="7" width="16.0"/>
    <col customWidth="1" min="8" max="8" width="6.29"/>
    <col customWidth="1" min="9" max="9" width="16.0"/>
    <col customWidth="1" min="10" max="10" width="6.29"/>
    <col customWidth="1" min="11" max="11" width="16.0"/>
    <col customWidth="1" min="12" max="12" width="6.29"/>
  </cols>
  <sheetData>
    <row r="1" ht="34.5" customHeight="1">
      <c r="A1" s="1" t="s">
        <v>107</v>
      </c>
    </row>
    <row r="2" ht="60.75" customHeight="1">
      <c r="A2" s="31" t="s">
        <v>132</v>
      </c>
      <c r="B2" s="46"/>
      <c r="C2" s="46"/>
      <c r="D2" s="46"/>
      <c r="E2" s="47"/>
      <c r="F2" s="86"/>
      <c r="G2" s="87"/>
      <c r="H2" s="86"/>
      <c r="I2" s="87"/>
      <c r="J2" s="86"/>
      <c r="K2" s="87"/>
      <c r="L2" s="86"/>
    </row>
    <row r="3" ht="5.25" customHeight="1">
      <c r="A3" s="37"/>
      <c r="B3" s="37"/>
      <c r="C3" s="37"/>
      <c r="D3" s="88"/>
      <c r="E3" s="37"/>
      <c r="F3" s="88"/>
      <c r="G3" s="37"/>
      <c r="H3" s="88"/>
      <c r="I3" s="37"/>
      <c r="J3" s="88"/>
      <c r="K3" s="37"/>
      <c r="L3" s="88"/>
    </row>
    <row r="4" ht="36.75" customHeight="1">
      <c r="A4" s="89" t="s">
        <v>133</v>
      </c>
    </row>
    <row r="5" ht="111.0" customHeight="1">
      <c r="A5" s="90" t="s">
        <v>134</v>
      </c>
      <c r="C5" s="91" t="str">
        <f>'Agents Brainstorm'!B7</f>
        <v>Agent 1 (eg. ML developer)</v>
      </c>
      <c r="E5" s="91" t="str">
        <f>'Agents Brainstorm'!B8</f>
        <v>Agent 2</v>
      </c>
      <c r="F5" s="91"/>
      <c r="G5" s="91" t="str">
        <f>'Agents Brainstorm'!B9</f>
        <v>Agent 3</v>
      </c>
      <c r="H5" s="91"/>
      <c r="I5" s="91" t="str">
        <f>'Agents Brainstorm'!B10</f>
        <v>Agent 4</v>
      </c>
      <c r="J5" s="91"/>
      <c r="K5" s="91" t="str">
        <f>'Agents Brainstorm'!B11</f>
        <v>Agent 5</v>
      </c>
      <c r="L5" s="91"/>
    </row>
    <row r="6" ht="36.75" customHeight="1">
      <c r="A6" s="92"/>
      <c r="B6" s="93" t="s">
        <v>135</v>
      </c>
      <c r="C6" s="94" t="str">
        <f>left('Agents Brainstorm'!C7, 1)</f>
        <v/>
      </c>
      <c r="D6" s="95"/>
      <c r="E6" s="94" t="str">
        <f>left('Agents Brainstorm'!C8, 1)</f>
        <v/>
      </c>
      <c r="F6" s="95"/>
      <c r="G6" s="94" t="str">
        <f>left('Agents Brainstorm'!C9, 1)</f>
        <v/>
      </c>
      <c r="H6" s="95"/>
      <c r="I6" s="94" t="str">
        <f>left('Agents Brainstorm'!C10, 1)</f>
        <v/>
      </c>
      <c r="J6" s="95"/>
      <c r="K6" s="94" t="str">
        <f>left('Agents Brainstorm'!C11, 1)</f>
        <v/>
      </c>
      <c r="L6" s="95"/>
    </row>
    <row r="7" ht="21.0" customHeight="1">
      <c r="A7" s="96" t="s">
        <v>136</v>
      </c>
      <c r="B7" s="97" t="str">
        <f>'Input Dimensions Worksheet'!A7</f>
        <v>Accountability</v>
      </c>
      <c r="C7" s="98" t="str">
        <f>ifna(LEFT(VLOOKUP($B7,'Input Dimensions Worksheet'!$A$7:$C$11, 3), 1))</f>
        <v/>
      </c>
      <c r="D7" s="99" t="str">
        <f t="shared" ref="D7:D10" si="1">if(C7&gt;C$6, "👎", if(C7&lt;C$6, "👍", "0"))</f>
        <v>0</v>
      </c>
      <c r="E7" s="98" t="str">
        <f>ifna(LEFT(VLOOKUP($B7,'Input Dimensions Worksheet'!$A$7:$C$11, 3), 1))</f>
        <v/>
      </c>
      <c r="F7" s="99" t="str">
        <f t="shared" ref="F7:F11" si="2">if(E7&gt;E$6, "👎", if(E7&lt;E$6, "👍", "🤔"))</f>
        <v>🤔</v>
      </c>
      <c r="G7" s="98" t="str">
        <f>ifna(LEFT(VLOOKUP($B7,'Input Dimensions Worksheet'!$A$7:$C$11, 3), 1))</f>
        <v/>
      </c>
      <c r="H7" s="99" t="str">
        <f t="shared" ref="H7:H11" si="3">if(G7&gt;G$6, "👎", if(G7&lt;G$6, "👍", "🤔"))</f>
        <v>🤔</v>
      </c>
      <c r="I7" s="98" t="str">
        <f>ifna(LEFT(VLOOKUP($B7,'Input Dimensions Worksheet'!$A$7:$C$11, 3), 1))</f>
        <v/>
      </c>
      <c r="J7" s="99" t="str">
        <f t="shared" ref="J7:J11" si="4">if(I7&gt;I$6, "👎", if(I7&lt;I$6, "👍", "🤔"))</f>
        <v>🤔</v>
      </c>
      <c r="K7" s="98" t="str">
        <f>ifna(LEFT(VLOOKUP($B7,'Input Dimensions Worksheet'!$A$7:$C$11, 3), 1))</f>
        <v/>
      </c>
      <c r="L7" s="99" t="str">
        <f t="shared" ref="L7:L11" si="5">if(K7&gt;K$6, "👎", if(K7&lt;K$6, "👍", "🤔"))</f>
        <v>🤔</v>
      </c>
    </row>
    <row r="8" ht="21.0" customHeight="1">
      <c r="B8" s="97" t="str">
        <f>'Input Dimensions Worksheet'!A8</f>
        <v>Impact &amp; Consequences</v>
      </c>
      <c r="C8" s="98" t="str">
        <f>ifna(LEFT(VLOOKUP($B8,'Input Dimensions Worksheet'!$A$7:$C$11, 3), 1))</f>
        <v/>
      </c>
      <c r="D8" s="99" t="str">
        <f t="shared" si="1"/>
        <v>0</v>
      </c>
      <c r="E8" s="98" t="str">
        <f>ifna(LEFT(VLOOKUP($B8,'Input Dimensions Worksheet'!$A$7:$C$11, 3), 1))</f>
        <v/>
      </c>
      <c r="F8" s="99" t="str">
        <f t="shared" si="2"/>
        <v>🤔</v>
      </c>
      <c r="G8" s="98" t="str">
        <f>ifna(LEFT(VLOOKUP($B8,'Input Dimensions Worksheet'!$A$7:$C$11, 3), 1))</f>
        <v/>
      </c>
      <c r="H8" s="99" t="str">
        <f t="shared" si="3"/>
        <v>🤔</v>
      </c>
      <c r="I8" s="98" t="str">
        <f>ifna(LEFT(VLOOKUP($B8,'Input Dimensions Worksheet'!$A$7:$C$11, 3), 1))</f>
        <v/>
      </c>
      <c r="J8" s="99" t="str">
        <f t="shared" si="4"/>
        <v>🤔</v>
      </c>
      <c r="K8" s="98" t="str">
        <f>ifna(LEFT(VLOOKUP($B8,'Input Dimensions Worksheet'!$A$7:$C$11, 3), 1))</f>
        <v/>
      </c>
      <c r="L8" s="99" t="str">
        <f t="shared" si="5"/>
        <v>🤔</v>
      </c>
    </row>
    <row r="9" ht="21.0" customHeight="1">
      <c r="B9" s="97" t="str">
        <f>'Input Dimensions Worksheet'!A9</f>
        <v>Quality</v>
      </c>
      <c r="C9" s="98" t="str">
        <f>ifna(LEFT(VLOOKUP($B9,'Input Dimensions Worksheet'!$A$7:$C$11, 3), 1))</f>
        <v/>
      </c>
      <c r="D9" s="99" t="str">
        <f t="shared" si="1"/>
        <v>0</v>
      </c>
      <c r="E9" s="98" t="str">
        <f>ifna(LEFT(VLOOKUP($B9,'Input Dimensions Worksheet'!$A$7:$C$11, 3), 1))</f>
        <v/>
      </c>
      <c r="F9" s="99" t="str">
        <f t="shared" si="2"/>
        <v>🤔</v>
      </c>
      <c r="G9" s="98" t="str">
        <f>ifna(LEFT(VLOOKUP($B9,'Input Dimensions Worksheet'!$A$7:$C$11, 3), 1))</f>
        <v/>
      </c>
      <c r="H9" s="99" t="str">
        <f t="shared" si="3"/>
        <v>🤔</v>
      </c>
      <c r="I9" s="98" t="str">
        <f>ifna(LEFT(VLOOKUP($B9,'Input Dimensions Worksheet'!$A$7:$C$11, 3), 1))</f>
        <v/>
      </c>
      <c r="J9" s="99" t="str">
        <f t="shared" si="4"/>
        <v>🤔</v>
      </c>
      <c r="K9" s="98" t="str">
        <f>ifna(LEFT(VLOOKUP($B9,'Input Dimensions Worksheet'!$A$7:$C$11, 3), 1))</f>
        <v/>
      </c>
      <c r="L9" s="99" t="str">
        <f t="shared" si="5"/>
        <v>🤔</v>
      </c>
    </row>
    <row r="10" ht="21.0" customHeight="1">
      <c r="B10" s="97" t="str">
        <f>'Input Dimensions Worksheet'!A10</f>
        <v>Risk &amp; Recommendations</v>
      </c>
      <c r="C10" s="98" t="str">
        <f>ifna(LEFT(VLOOKUP($B10,'Input Dimensions Worksheet'!$A$7:$C$11, 3), 1))</f>
        <v/>
      </c>
      <c r="D10" s="99" t="str">
        <f t="shared" si="1"/>
        <v>0</v>
      </c>
      <c r="E10" s="98" t="str">
        <f>ifna(LEFT(VLOOKUP($B10,'Input Dimensions Worksheet'!$A$7:$C$11, 3), 1))</f>
        <v/>
      </c>
      <c r="F10" s="99" t="str">
        <f t="shared" si="2"/>
        <v>🤔</v>
      </c>
      <c r="G10" s="98" t="str">
        <f>ifna(LEFT(VLOOKUP($B10,'Input Dimensions Worksheet'!$A$7:$C$11, 3), 1))</f>
        <v/>
      </c>
      <c r="H10" s="99" t="str">
        <f t="shared" si="3"/>
        <v>🤔</v>
      </c>
      <c r="I10" s="98" t="str">
        <f>ifna(LEFT(VLOOKUP($B10,'Input Dimensions Worksheet'!$A$7:$C$11, 3), 1))</f>
        <v/>
      </c>
      <c r="J10" s="99" t="str">
        <f t="shared" si="4"/>
        <v>🤔</v>
      </c>
      <c r="K10" s="98" t="str">
        <f>ifna(LEFT(VLOOKUP($B10,'Input Dimensions Worksheet'!$A$7:$C$11, 3), 1))</f>
        <v/>
      </c>
      <c r="L10" s="99" t="str">
        <f t="shared" si="5"/>
        <v>🤔</v>
      </c>
    </row>
    <row r="11" ht="21.0" customHeight="1">
      <c r="B11" s="97" t="str">
        <f>'Input Dimensions Worksheet'!A11</f>
        <v>Use &amp; Utility</v>
      </c>
      <c r="C11" s="98" t="str">
        <f>ifna(LEFT(VLOOKUP($B11,'Input Dimensions Worksheet'!$A$7:$C$11, 3), 1))</f>
        <v/>
      </c>
      <c r="D11" s="99" t="str">
        <f>if(C11&gt;C$6, "👎", if(C11&lt;C$6, "👍", "🤔"))</f>
        <v>🤔</v>
      </c>
      <c r="E11" s="98" t="str">
        <f>ifna(LEFT(VLOOKUP($B11,'Input Dimensions Worksheet'!$A$7:$C$11, 3), 1))</f>
        <v/>
      </c>
      <c r="F11" s="99" t="str">
        <f t="shared" si="2"/>
        <v>🤔</v>
      </c>
      <c r="G11" s="98" t="str">
        <f>ifna(LEFT(VLOOKUP($B11,'Input Dimensions Worksheet'!$A$7:$C$11, 3), 1))</f>
        <v/>
      </c>
      <c r="H11" s="99" t="str">
        <f t="shared" si="3"/>
        <v>🤔</v>
      </c>
      <c r="I11" s="98" t="str">
        <f>ifna(LEFT(VLOOKUP($B11,'Input Dimensions Worksheet'!$A$7:$C$11, 3), 1))</f>
        <v/>
      </c>
      <c r="J11" s="99" t="str">
        <f t="shared" si="4"/>
        <v>🤔</v>
      </c>
      <c r="K11" s="98" t="str">
        <f>ifna(LEFT(VLOOKUP($B11,'Input Dimensions Worksheet'!$A$7:$C$11, 3), 1))</f>
        <v/>
      </c>
      <c r="L11" s="99" t="str">
        <f t="shared" si="5"/>
        <v>🤔</v>
      </c>
    </row>
    <row r="12" ht="5.25" customHeight="1">
      <c r="A12" s="37"/>
      <c r="B12" s="37"/>
      <c r="C12" s="37"/>
      <c r="D12" s="88"/>
      <c r="E12" s="37"/>
      <c r="F12" s="88"/>
      <c r="G12" s="37"/>
      <c r="H12" s="88"/>
      <c r="I12" s="37"/>
      <c r="J12" s="88"/>
      <c r="K12" s="37"/>
      <c r="L12" s="88"/>
    </row>
    <row r="13">
      <c r="A13" s="100" t="s">
        <v>137</v>
      </c>
    </row>
    <row r="14" ht="99.0" customHeight="1">
      <c r="A14" s="90" t="s">
        <v>138</v>
      </c>
      <c r="H14" s="101"/>
      <c r="I14" s="101"/>
      <c r="J14" s="101"/>
      <c r="K14" s="101"/>
      <c r="L14" s="101"/>
    </row>
    <row r="15">
      <c r="A15" s="101"/>
      <c r="B15" s="102" t="s">
        <v>112</v>
      </c>
      <c r="C15" s="103" t="s">
        <v>139</v>
      </c>
      <c r="H15" s="103"/>
      <c r="I15" s="103" t="s">
        <v>140</v>
      </c>
      <c r="J15" s="103"/>
      <c r="K15" s="103" t="s">
        <v>141</v>
      </c>
      <c r="L15" s="101"/>
    </row>
    <row r="16" ht="48.0" customHeight="1">
      <c r="A16" s="96" t="s">
        <v>142</v>
      </c>
      <c r="B16" s="97" t="str">
        <f>'Input Dimensions Worksheet'!A7</f>
        <v>Accountability</v>
      </c>
      <c r="C16" s="104">
        <f t="array" ref="C16">IFNA(VLOOKUP(B16,{'Input Dimensions Ranking (for E'!$B$6:$B$10, 'Input Dimensions Ranking (for E'!$A$6:$A$10}, 2, False)+
VLOOKUP(B16,{'Input Dimensions Ranking (for E'!$C$6:$C$10, 'Input Dimensions Ranking (for E'!$A$6:$A$10}, 2, False)+
VLOOKUP(B16,{'Input Dimensions Ranking (for E'!$D$6:$D$10, 'Input Dimensions Ranking (for E'!$A$6:$A$10}, 2, False)+
VLOOKUP(B16,{'Input Dimensions Ranking (for E'!$E$6:$E$10, 'Input Dimensions Ranking (for E'!$A$6:$A$10}, 2, False)+
VLOOKUP(B16,{'Input Dimensions Ranking (for E'!$F$6:$F$10, 'Input Dimensions Ranking (for E'!$A$6:$A$10}, 2, False))/5</f>
        <v>0</v>
      </c>
      <c r="D16" s="105"/>
      <c r="E16" s="105"/>
      <c r="F16" s="105"/>
      <c r="G16" s="105"/>
      <c r="H16" s="106"/>
      <c r="I16" s="106">
        <f t="array" ref="I16">ifna(min(VLOOKUP($B16,{'Input Dimensions Ranking (for E'!$B$6:$B$10, 'Input Dimensions Ranking (for E'!$A$6:$A$10}, 2, False),
VLOOKUP($B16,{'Input Dimensions Ranking (for E'!$C$6:$C$10, 'Input Dimensions Ranking (for E'!$A$6:$A$10}, 2, False),
VLOOKUP($B16,{'Input Dimensions Ranking (for E'!$D$6:$D$10, 'Input Dimensions Ranking (for E'!$A$6:$A$10}, 2, False),
VLOOKUP($B16,{'Input Dimensions Ranking (for E'!$E$6:$E$10, 'Input Dimensions Ranking (for E'!$A$6:$A$10}, 2, False),
VLOOKUP($B16,{'Input Dimensions Ranking (for E'!$F$6:$F$10, 'Input Dimensions Ranking (for E'!$A$6:$A$10}, 2, False)),1)</f>
        <v>1</v>
      </c>
      <c r="J16" s="106"/>
      <c r="K16" s="106">
        <f t="array" ref="K16">ifna(MAX(VLOOKUP($B16,{'Input Dimensions Ranking (for E'!$B$6:$B$10, 'Input Dimensions Ranking (for E'!$A$6:$A$10}, 2, False),
VLOOKUP($B16,{'Input Dimensions Ranking (for E'!$C$6:$C$10, 'Input Dimensions Ranking (for E'!$A$6:$A$10}, 2, False),
VLOOKUP($B16,{'Input Dimensions Ranking (for E'!$D$6:$D$10, 'Input Dimensions Ranking (for E'!$A$6:$A$10}, 2, False),
VLOOKUP($B16,{'Input Dimensions Ranking (for E'!$E$6:$E$10, 'Input Dimensions Ranking (for E'!$A$6:$A$10}, 2, False),
VLOOKUP($B16,{'Input Dimensions Ranking (for E'!$F$6:$F$10, 'Input Dimensions Ranking (for E'!$A$6:$A$10}, 2, False)),1)</f>
        <v>1</v>
      </c>
      <c r="L16" s="106"/>
    </row>
    <row r="17" ht="48.0" customHeight="1">
      <c r="B17" s="97" t="str">
        <f>'Input Dimensions Worksheet'!A8</f>
        <v>Impact &amp; Consequences</v>
      </c>
      <c r="C17" s="104">
        <f t="array" ref="C17">IFNA(VLOOKUP(B17,{'Input Dimensions Ranking (for E'!$B$6:$B$10, 'Input Dimensions Ranking (for E'!$A$6:$A$10}, 2, False)+
VLOOKUP(B17,{'Input Dimensions Ranking (for E'!$C$6:$C$10, 'Input Dimensions Ranking (for E'!$A$6:$A$10}, 2, False)+
VLOOKUP(B17,{'Input Dimensions Ranking (for E'!$D$6:$D$10, 'Input Dimensions Ranking (for E'!$A$6:$A$10}, 2, False)+
VLOOKUP(B17,{'Input Dimensions Ranking (for E'!$E$6:$E$10, 'Input Dimensions Ranking (for E'!$A$6:$A$10}, 2, False)+
VLOOKUP(B17,{'Input Dimensions Ranking (for E'!$F$6:$F$10, 'Input Dimensions Ranking (for E'!$A$6:$A$10}, 2, False))/5</f>
        <v>0</v>
      </c>
      <c r="D17" s="105"/>
      <c r="E17" s="105"/>
      <c r="F17" s="105"/>
      <c r="G17" s="105"/>
      <c r="H17" s="106"/>
      <c r="I17" s="106">
        <f t="array" ref="I17">ifna(min(VLOOKUP($B17,{'Input Dimensions Ranking (for E'!$B$6:$B$10, 'Input Dimensions Ranking (for E'!$A$6:$A$10}, 2, False),
VLOOKUP($B17,{'Input Dimensions Ranking (for E'!$C$6:$C$10, 'Input Dimensions Ranking (for E'!$A$6:$A$10}, 2, False),
VLOOKUP($B17,{'Input Dimensions Ranking (for E'!$D$6:$D$10, 'Input Dimensions Ranking (for E'!$A$6:$A$10}, 2, False),
VLOOKUP($B17,{'Input Dimensions Ranking (for E'!$E$6:$E$10, 'Input Dimensions Ranking (for E'!$A$6:$A$10}, 2, False),
VLOOKUP($B17,{'Input Dimensions Ranking (for E'!$F$6:$F$10, 'Input Dimensions Ranking (for E'!$A$6:$A$10}, 2, False)),1)</f>
        <v>1</v>
      </c>
      <c r="J17" s="106"/>
      <c r="K17" s="106">
        <f t="array" ref="K17">ifna(MAX(VLOOKUP($B17,{'Input Dimensions Ranking (for E'!$B$6:$B$10, 'Input Dimensions Ranking (for E'!$A$6:$A$10}, 2, False),
VLOOKUP($B17,{'Input Dimensions Ranking (for E'!$C$6:$C$10, 'Input Dimensions Ranking (for E'!$A$6:$A$10}, 2, False),
VLOOKUP($B17,{'Input Dimensions Ranking (for E'!$D$6:$D$10, 'Input Dimensions Ranking (for E'!$A$6:$A$10}, 2, False),
VLOOKUP($B17,{'Input Dimensions Ranking (for E'!$E$6:$E$10, 'Input Dimensions Ranking (for E'!$A$6:$A$10}, 2, False),
VLOOKUP($B17,{'Input Dimensions Ranking (for E'!$F$6:$F$10, 'Input Dimensions Ranking (for E'!$A$6:$A$10}, 2, False)),1)</f>
        <v>1</v>
      </c>
      <c r="L17" s="106"/>
    </row>
    <row r="18" ht="48.0" customHeight="1">
      <c r="B18" s="97" t="str">
        <f>'Input Dimensions Worksheet'!A9</f>
        <v>Quality</v>
      </c>
      <c r="C18" s="104">
        <f t="array" ref="C18">IFNA(VLOOKUP(B18,{'Input Dimensions Ranking (for E'!$B$6:$B$10, 'Input Dimensions Ranking (for E'!$A$6:$A$10}, 2, False)+
VLOOKUP(B18,{'Input Dimensions Ranking (for E'!$C$6:$C$10, 'Input Dimensions Ranking (for E'!$A$6:$A$10}, 2, False)+
VLOOKUP(B18,{'Input Dimensions Ranking (for E'!$D$6:$D$10, 'Input Dimensions Ranking (for E'!$A$6:$A$10}, 2, False)+
VLOOKUP(B18,{'Input Dimensions Ranking (for E'!$E$6:$E$10, 'Input Dimensions Ranking (for E'!$A$6:$A$10}, 2, False)+
VLOOKUP(B18,{'Input Dimensions Ranking (for E'!$F$6:$F$10, 'Input Dimensions Ranking (for E'!$A$6:$A$10}, 2, False))/5</f>
        <v>0</v>
      </c>
      <c r="D18" s="105"/>
      <c r="E18" s="105"/>
      <c r="F18" s="105"/>
      <c r="G18" s="105"/>
      <c r="H18" s="106"/>
      <c r="I18" s="106">
        <f t="array" ref="I18">ifna(min(VLOOKUP($B18,{'Input Dimensions Ranking (for E'!$B$6:$B$10, 'Input Dimensions Ranking (for E'!$A$6:$A$10}, 2, False),
VLOOKUP($B18,{'Input Dimensions Ranking (for E'!$C$6:$C$10, 'Input Dimensions Ranking (for E'!$A$6:$A$10}, 2, False),
VLOOKUP($B18,{'Input Dimensions Ranking (for E'!$D$6:$D$10, 'Input Dimensions Ranking (for E'!$A$6:$A$10}, 2, False),
VLOOKUP($B18,{'Input Dimensions Ranking (for E'!$E$6:$E$10, 'Input Dimensions Ranking (for E'!$A$6:$A$10}, 2, False),
VLOOKUP($B18,{'Input Dimensions Ranking (for E'!$F$6:$F$10, 'Input Dimensions Ranking (for E'!$A$6:$A$10}, 2, False)),1)</f>
        <v>1</v>
      </c>
      <c r="J18" s="106"/>
      <c r="K18" s="106">
        <f t="array" ref="K18">ifna(MAX(VLOOKUP($B18,{'Input Dimensions Ranking (for E'!$B$6:$B$10, 'Input Dimensions Ranking (for E'!$A$6:$A$10}, 2, False),
VLOOKUP($B18,{'Input Dimensions Ranking (for E'!$C$6:$C$10, 'Input Dimensions Ranking (for E'!$A$6:$A$10}, 2, False),
VLOOKUP($B18,{'Input Dimensions Ranking (for E'!$D$6:$D$10, 'Input Dimensions Ranking (for E'!$A$6:$A$10}, 2, False),
VLOOKUP($B18,{'Input Dimensions Ranking (for E'!$E$6:$E$10, 'Input Dimensions Ranking (for E'!$A$6:$A$10}, 2, False),
VLOOKUP($B18,{'Input Dimensions Ranking (for E'!$F$6:$F$10, 'Input Dimensions Ranking (for E'!$A$6:$A$10}, 2, False)),1)</f>
        <v>1</v>
      </c>
      <c r="L18" s="106"/>
    </row>
    <row r="19" ht="48.0" customHeight="1">
      <c r="B19" s="97" t="str">
        <f>'Input Dimensions Worksheet'!A10</f>
        <v>Risk &amp; Recommendations</v>
      </c>
      <c r="C19" s="104">
        <f t="array" ref="C19">IFNA(VLOOKUP(B19,{'Input Dimensions Ranking (for E'!$B$6:$B$10, 'Input Dimensions Ranking (for E'!$A$6:$A$10}, 2, False)+
VLOOKUP(B19,{'Input Dimensions Ranking (for E'!$C$6:$C$10, 'Input Dimensions Ranking (for E'!$A$6:$A$10}, 2, False)+
VLOOKUP(B19,{'Input Dimensions Ranking (for E'!$D$6:$D$10, 'Input Dimensions Ranking (for E'!$A$6:$A$10}, 2, False)+
VLOOKUP(B19,{'Input Dimensions Ranking (for E'!$E$6:$E$10, 'Input Dimensions Ranking (for E'!$A$6:$A$10}, 2, False)+
VLOOKUP(B19,{'Input Dimensions Ranking (for E'!$F$6:$F$10, 'Input Dimensions Ranking (for E'!$A$6:$A$10}, 2, False))/5</f>
        <v>0</v>
      </c>
      <c r="D19" s="105"/>
      <c r="E19" s="105"/>
      <c r="F19" s="105"/>
      <c r="G19" s="105"/>
      <c r="H19" s="106"/>
      <c r="I19" s="106">
        <f t="array" ref="I19">ifna(min(VLOOKUP($B19,{'Input Dimensions Ranking (for E'!$B$6:$B$10, 'Input Dimensions Ranking (for E'!$A$6:$A$10}, 2, False),
VLOOKUP($B19,{'Input Dimensions Ranking (for E'!$C$6:$C$10, 'Input Dimensions Ranking (for E'!$A$6:$A$10}, 2, False),
VLOOKUP($B19,{'Input Dimensions Ranking (for E'!$D$6:$D$10, 'Input Dimensions Ranking (for E'!$A$6:$A$10}, 2, False),
VLOOKUP($B19,{'Input Dimensions Ranking (for E'!$E$6:$E$10, 'Input Dimensions Ranking (for E'!$A$6:$A$10}, 2, False),
VLOOKUP($B19,{'Input Dimensions Ranking (for E'!$F$6:$F$10, 'Input Dimensions Ranking (for E'!$A$6:$A$10}, 2, False)),1)</f>
        <v>1</v>
      </c>
      <c r="J19" s="106"/>
      <c r="K19" s="106">
        <f t="array" ref="K19">ifna(MAX(VLOOKUP($B19,{'Input Dimensions Ranking (for E'!$B$6:$B$10, 'Input Dimensions Ranking (for E'!$A$6:$A$10}, 2, False),
VLOOKUP($B19,{'Input Dimensions Ranking (for E'!$C$6:$C$10, 'Input Dimensions Ranking (for E'!$A$6:$A$10}, 2, False),
VLOOKUP($B19,{'Input Dimensions Ranking (for E'!$D$6:$D$10, 'Input Dimensions Ranking (for E'!$A$6:$A$10}, 2, False),
VLOOKUP($B19,{'Input Dimensions Ranking (for E'!$E$6:$E$10, 'Input Dimensions Ranking (for E'!$A$6:$A$10}, 2, False),
VLOOKUP($B19,{'Input Dimensions Ranking (for E'!$F$6:$F$10, 'Input Dimensions Ranking (for E'!$A$6:$A$10}, 2, False)),1)</f>
        <v>1</v>
      </c>
      <c r="L19" s="106"/>
    </row>
    <row r="20" ht="48.0" customHeight="1">
      <c r="B20" s="97" t="str">
        <f>'Input Dimensions Worksheet'!A11</f>
        <v>Use &amp; Utility</v>
      </c>
      <c r="C20" s="104">
        <f t="array" ref="C20">IFNA(VLOOKUP(B20,{'Input Dimensions Ranking (for E'!$B$6:$B$10, 'Input Dimensions Ranking (for E'!$A$6:$A$10}, 2, False)+
VLOOKUP(B20,{'Input Dimensions Ranking (for E'!$C$6:$C$10, 'Input Dimensions Ranking (for E'!$A$6:$A$10}, 2, False)+
VLOOKUP(B20,{'Input Dimensions Ranking (for E'!$D$6:$D$10, 'Input Dimensions Ranking (for E'!$A$6:$A$10}, 2, False)+
VLOOKUP(B20,{'Input Dimensions Ranking (for E'!$E$6:$E$10, 'Input Dimensions Ranking (for E'!$A$6:$A$10}, 2, False)+
VLOOKUP(B20,{'Input Dimensions Ranking (for E'!$F$6:$F$10, 'Input Dimensions Ranking (for E'!$A$6:$A$10}, 2, False))/5</f>
        <v>0</v>
      </c>
      <c r="D20" s="105"/>
      <c r="E20" s="105"/>
      <c r="F20" s="105"/>
      <c r="G20" s="105"/>
      <c r="H20" s="106"/>
      <c r="I20" s="106">
        <f t="array" ref="I20">ifna(min(VLOOKUP($B20,{'Input Dimensions Ranking (for E'!$B$6:$B$10, 'Input Dimensions Ranking (for E'!$A$6:$A$10}, 2, False),
VLOOKUP($B20,{'Input Dimensions Ranking (for E'!$C$6:$C$10, 'Input Dimensions Ranking (for E'!$A$6:$A$10}, 2, False),
VLOOKUP($B20,{'Input Dimensions Ranking (for E'!$D$6:$D$10, 'Input Dimensions Ranking (for E'!$A$6:$A$10}, 2, False),
VLOOKUP($B20,{'Input Dimensions Ranking (for E'!$E$6:$E$10, 'Input Dimensions Ranking (for E'!$A$6:$A$10}, 2, False),
VLOOKUP($B20,{'Input Dimensions Ranking (for E'!$F$6:$F$10, 'Input Dimensions Ranking (for E'!$A$6:$A$10}, 2, False)),1)</f>
        <v>1</v>
      </c>
      <c r="J20" s="106"/>
      <c r="K20" s="106">
        <f t="array" ref="K20">ifna(MAX(VLOOKUP($B20,{'Input Dimensions Ranking (for E'!$B$6:$B$10, 'Input Dimensions Ranking (for E'!$A$6:$A$10}, 2, False),
VLOOKUP($B20,{'Input Dimensions Ranking (for E'!$C$6:$C$10, 'Input Dimensions Ranking (for E'!$A$6:$A$10}, 2, False),
VLOOKUP($B20,{'Input Dimensions Ranking (for E'!$D$6:$D$10, 'Input Dimensions Ranking (for E'!$A$6:$A$10}, 2, False),
VLOOKUP($B20,{'Input Dimensions Ranking (for E'!$E$6:$E$10, 'Input Dimensions Ranking (for E'!$A$6:$A$10}, 2, False),
VLOOKUP($B20,{'Input Dimensions Ranking (for E'!$F$6:$F$10, 'Input Dimensions Ranking (for E'!$A$6:$A$10}, 2, False)),1)</f>
        <v>1</v>
      </c>
      <c r="L20" s="106"/>
    </row>
    <row r="21" ht="5.25" customHeight="1">
      <c r="A21" s="37"/>
      <c r="B21" s="37"/>
      <c r="C21" s="37"/>
      <c r="D21" s="88"/>
      <c r="E21" s="37"/>
      <c r="F21" s="88"/>
      <c r="G21" s="37"/>
      <c r="H21" s="88"/>
      <c r="I21" s="37"/>
      <c r="J21" s="88"/>
      <c r="K21" s="37"/>
      <c r="L21" s="88"/>
    </row>
  </sheetData>
  <mergeCells count="20">
    <mergeCell ref="A1:L1"/>
    <mergeCell ref="A2:E2"/>
    <mergeCell ref="A4:L4"/>
    <mergeCell ref="A5:B5"/>
    <mergeCell ref="C5:D5"/>
    <mergeCell ref="C6:D6"/>
    <mergeCell ref="E6:F6"/>
    <mergeCell ref="K6:L6"/>
    <mergeCell ref="C16:G16"/>
    <mergeCell ref="C17:G17"/>
    <mergeCell ref="C18:G18"/>
    <mergeCell ref="C19:G19"/>
    <mergeCell ref="G6:H6"/>
    <mergeCell ref="I6:J6"/>
    <mergeCell ref="A7:A11"/>
    <mergeCell ref="A13:L13"/>
    <mergeCell ref="A14:G14"/>
    <mergeCell ref="C15:G15"/>
    <mergeCell ref="A16:A20"/>
    <mergeCell ref="C20:G20"/>
  </mergeCells>
  <conditionalFormatting sqref="C7:C11 E7:E11 G7:G11 I7:I11 K7:K11">
    <cfRule type="cellIs" dxfId="2" priority="1" operator="greaterThan">
      <formula>(C$6)</formula>
    </cfRule>
  </conditionalFormatting>
  <conditionalFormatting sqref="C7:C11 E7:E11 G7:G11 I7:I11 K7:K11">
    <cfRule type="cellIs" dxfId="3" priority="2" operator="lessThan">
      <formula>C$6</formula>
    </cfRule>
  </conditionalFormatting>
  <conditionalFormatting sqref="C7:C11 E7:E11 G7:G11 I7:I11 K7:K11">
    <cfRule type="cellIs" dxfId="4" priority="3" operator="lessThan">
      <formula>"C$6"</formula>
    </cfRule>
  </conditionalFormatting>
  <conditionalFormatting sqref="D7:D11 F7:F11 H7:H11 J7:J11 L7:L11">
    <cfRule type="cellIs" dxfId="5" priority="4" operator="equal">
      <formula>"👎"</formula>
    </cfRule>
  </conditionalFormatting>
  <conditionalFormatting sqref="D7:D11 F7:F11 H7:H11 J7:J11 L7:L11">
    <cfRule type="cellIs" dxfId="6" priority="5" operator="equal">
      <formula>"👍"</formula>
    </cfRule>
  </conditionalFormatting>
  <conditionalFormatting sqref="D7:D11 F7:F11 H7:H11 J7:J11 L7:L11">
    <cfRule type="cellIs" dxfId="7" priority="6" operator="equal">
      <formula>"🤔"</formula>
    </cfRule>
  </conditionalFormatting>
  <conditionalFormatting sqref="C16:G20">
    <cfRule type="colorScale" priority="7">
      <colorScale>
        <cfvo type="min"/>
        <cfvo type="max"/>
        <color rgb="FFFAF49F"/>
        <color rgb="FF87CDF9"/>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4.43" defaultRowHeight="15.75"/>
  <cols>
    <col customWidth="1" min="1" max="12" width="12.86"/>
  </cols>
  <sheetData>
    <row r="1" ht="34.5" customHeight="1">
      <c r="A1" s="1" t="s">
        <v>107</v>
      </c>
    </row>
    <row r="2" ht="60.75" customHeight="1">
      <c r="A2" s="31" t="s">
        <v>143</v>
      </c>
      <c r="B2" s="46"/>
      <c r="C2" s="46"/>
      <c r="D2" s="46"/>
      <c r="E2" s="46"/>
      <c r="F2" s="46"/>
      <c r="G2" s="46"/>
      <c r="H2" s="46"/>
      <c r="I2" s="46"/>
      <c r="J2" s="46"/>
      <c r="K2" s="46"/>
      <c r="L2" s="47"/>
    </row>
    <row r="3" ht="5.25" customHeight="1">
      <c r="A3" s="77"/>
      <c r="B3" s="77"/>
      <c r="C3" s="77"/>
      <c r="D3" s="107"/>
      <c r="E3" s="77"/>
      <c r="F3" s="107"/>
      <c r="G3" s="77"/>
      <c r="H3" s="107"/>
      <c r="I3" s="77"/>
      <c r="J3" s="107"/>
      <c r="K3" s="77"/>
      <c r="L3" s="107"/>
    </row>
    <row r="4" ht="5.25" customHeight="1">
      <c r="A4" s="77"/>
      <c r="B4" s="77"/>
      <c r="C4" s="77"/>
      <c r="D4" s="107"/>
      <c r="E4" s="77"/>
      <c r="F4" s="107"/>
      <c r="G4" s="77"/>
      <c r="H4" s="107"/>
      <c r="I4" s="77"/>
      <c r="J4" s="107"/>
      <c r="K4" s="77"/>
      <c r="L4" s="107"/>
    </row>
    <row r="5" ht="48.0" customHeight="1">
      <c r="A5" s="101" t="s">
        <v>21</v>
      </c>
    </row>
    <row r="6" ht="15.75" customHeight="1">
      <c r="B6" s="108"/>
      <c r="C6" s="109"/>
      <c r="D6" s="110"/>
      <c r="E6" s="109"/>
      <c r="F6" s="110"/>
      <c r="G6" s="109"/>
      <c r="H6" s="110"/>
      <c r="I6" s="109"/>
      <c r="J6" s="110"/>
      <c r="K6" s="109"/>
      <c r="L6" s="110"/>
    </row>
    <row r="7" ht="15.75" customHeight="1">
      <c r="B7" s="108" t="s">
        <v>144</v>
      </c>
      <c r="C7" s="109"/>
      <c r="D7" s="110"/>
      <c r="E7" s="109"/>
      <c r="F7" s="110"/>
      <c r="G7" s="109"/>
      <c r="H7" s="110"/>
      <c r="I7" s="109"/>
      <c r="J7" s="110"/>
      <c r="K7" s="109"/>
      <c r="L7" s="110"/>
    </row>
    <row r="8" ht="15.75" customHeight="1">
      <c r="A8" s="108" t="s">
        <v>145</v>
      </c>
      <c r="B8" s="111">
        <f>countif('Global Tracker'!E:E, A8)</f>
        <v>0</v>
      </c>
      <c r="C8" s="109"/>
      <c r="D8" s="110"/>
      <c r="E8" s="109"/>
      <c r="F8" s="110"/>
      <c r="G8" s="109"/>
      <c r="H8" s="110"/>
      <c r="I8" s="109"/>
      <c r="J8" s="110"/>
      <c r="K8" s="109"/>
      <c r="L8" s="110"/>
    </row>
    <row r="9" ht="15.75" customHeight="1">
      <c r="A9" s="108" t="s">
        <v>89</v>
      </c>
      <c r="B9" s="111">
        <f>countif('Global Tracker'!E:E, A9)</f>
        <v>0</v>
      </c>
      <c r="C9" s="109"/>
      <c r="D9" s="110"/>
      <c r="E9" s="109"/>
      <c r="F9" s="110"/>
      <c r="G9" s="109"/>
      <c r="H9" s="110"/>
      <c r="I9" s="109"/>
      <c r="J9" s="110"/>
      <c r="K9" s="109"/>
      <c r="L9" s="110"/>
    </row>
    <row r="10" ht="15.75" customHeight="1">
      <c r="A10" s="108" t="s">
        <v>146</v>
      </c>
      <c r="B10" s="111">
        <f>countif('Global Tracker'!E:E, A10)</f>
        <v>0</v>
      </c>
      <c r="C10" s="109"/>
      <c r="D10" s="110"/>
      <c r="E10" s="109"/>
      <c r="F10" s="110"/>
      <c r="G10" s="109"/>
      <c r="H10" s="110"/>
      <c r="I10" s="109"/>
      <c r="J10" s="110"/>
      <c r="K10" s="109"/>
      <c r="L10" s="110"/>
    </row>
    <row r="11" ht="15.75" customHeight="1">
      <c r="A11" s="112" t="s">
        <v>147</v>
      </c>
      <c r="B11" s="111">
        <f>countif('Global Tracker'!E:E, A11)</f>
        <v>0</v>
      </c>
      <c r="C11" s="109"/>
      <c r="D11" s="110"/>
      <c r="E11" s="109"/>
      <c r="F11" s="110"/>
      <c r="G11" s="109"/>
      <c r="H11" s="110"/>
      <c r="I11" s="109"/>
      <c r="J11" s="110"/>
      <c r="K11" s="109"/>
      <c r="L11" s="110"/>
    </row>
    <row r="12" ht="15.75" customHeight="1">
      <c r="A12" s="108" t="s">
        <v>148</v>
      </c>
      <c r="B12" s="111">
        <f>countif('Global Tracker'!E:E, A12)</f>
        <v>0</v>
      </c>
      <c r="C12" s="109"/>
      <c r="D12" s="110"/>
      <c r="E12" s="109"/>
      <c r="F12" s="110"/>
      <c r="G12" s="109"/>
      <c r="H12" s="110"/>
      <c r="I12" s="109"/>
      <c r="J12" s="110"/>
      <c r="K12" s="109"/>
      <c r="L12" s="110"/>
    </row>
    <row r="13" ht="15.75" customHeight="1">
      <c r="A13" s="108" t="s">
        <v>149</v>
      </c>
      <c r="B13" s="111">
        <f>countif('Global Tracker'!E:E, A13)</f>
        <v>0</v>
      </c>
      <c r="C13" s="109"/>
      <c r="D13" s="110"/>
      <c r="E13" s="109"/>
      <c r="F13" s="110"/>
      <c r="G13" s="109"/>
      <c r="H13" s="110"/>
      <c r="I13" s="109"/>
      <c r="J13" s="110"/>
      <c r="K13" s="109"/>
      <c r="L13" s="110"/>
    </row>
    <row r="14" ht="15.75" customHeight="1">
      <c r="A14" s="112" t="s">
        <v>150</v>
      </c>
      <c r="B14" s="111">
        <f>countif('Global Tracker'!E:E, A14)</f>
        <v>0</v>
      </c>
      <c r="C14" s="109"/>
      <c r="D14" s="110"/>
      <c r="E14" s="109"/>
      <c r="F14" s="110"/>
      <c r="G14" s="109"/>
      <c r="H14" s="110"/>
      <c r="I14" s="109"/>
      <c r="J14" s="110"/>
      <c r="K14" s="109"/>
      <c r="L14" s="110"/>
    </row>
    <row r="15" ht="15.75" customHeight="1">
      <c r="A15" s="108" t="s">
        <v>151</v>
      </c>
      <c r="B15" s="111">
        <f>countif('Global Tracker'!E:E, A15)</f>
        <v>0</v>
      </c>
      <c r="C15" s="109"/>
      <c r="D15" s="110"/>
      <c r="E15" s="109"/>
      <c r="F15" s="110"/>
      <c r="G15" s="109"/>
      <c r="H15" s="110"/>
      <c r="I15" s="109"/>
      <c r="J15" s="110"/>
      <c r="K15" s="109"/>
      <c r="L15" s="110"/>
    </row>
    <row r="16" ht="252.0" customHeight="1">
      <c r="A16" s="109"/>
      <c r="B16" s="109"/>
      <c r="C16" s="109"/>
      <c r="D16" s="113"/>
      <c r="E16" s="114"/>
      <c r="F16" s="110"/>
      <c r="G16" s="109"/>
      <c r="H16" s="110"/>
      <c r="I16" s="109"/>
      <c r="J16" s="110"/>
      <c r="K16" s="109"/>
      <c r="L16" s="110"/>
    </row>
  </sheetData>
  <mergeCells count="3">
    <mergeCell ref="A1:L1"/>
    <mergeCell ref="A2:L2"/>
    <mergeCell ref="A5:L5"/>
  </mergeCell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75"/>
  <cols>
    <col customWidth="1" min="1" max="3" width="35.57"/>
    <col customWidth="1" min="4" max="4" width="35.29"/>
    <col customWidth="1" min="5" max="5" width="33.14"/>
    <col customWidth="1" min="6" max="8" width="30.0"/>
    <col customWidth="1" hidden="1" min="9" max="9" width="30.57"/>
    <col customWidth="1" min="10" max="10" width="25.57"/>
    <col customWidth="1" min="11" max="11" width="27.0"/>
    <col customWidth="1" min="12" max="12" width="33.29"/>
    <col customWidth="1" min="13" max="17" width="25.86"/>
    <col customWidth="1" min="18" max="18" width="25.29"/>
    <col customWidth="1" min="19" max="19" width="17.43"/>
    <col customWidth="1" min="20" max="20" width="20.86"/>
    <col customWidth="1" min="21" max="21" width="27.0"/>
    <col customWidth="1" min="22" max="22" width="14.57"/>
    <col customWidth="1" min="23" max="23" width="23.57"/>
  </cols>
  <sheetData>
    <row r="1" ht="35.25" customHeight="1">
      <c r="A1" s="115" t="s">
        <v>152</v>
      </c>
      <c r="B1" s="116"/>
      <c r="C1" s="116"/>
      <c r="D1" s="117" t="s">
        <v>153</v>
      </c>
      <c r="E1" s="117" t="s">
        <v>154</v>
      </c>
      <c r="F1" s="117" t="s">
        <v>155</v>
      </c>
      <c r="G1" s="117" t="s">
        <v>156</v>
      </c>
      <c r="H1" s="117" t="s">
        <v>157</v>
      </c>
      <c r="I1" s="117"/>
      <c r="J1" s="117" t="s">
        <v>158</v>
      </c>
      <c r="K1" s="116"/>
      <c r="L1" s="116"/>
      <c r="M1" s="116"/>
      <c r="N1" s="116"/>
      <c r="O1" s="116"/>
      <c r="P1" s="116"/>
      <c r="Q1" s="116"/>
      <c r="R1" s="116"/>
      <c r="S1" s="116"/>
      <c r="T1" s="116"/>
      <c r="U1" s="116"/>
      <c r="V1" s="116"/>
      <c r="W1" s="118"/>
    </row>
    <row r="2" ht="35.25" customHeight="1">
      <c r="A2" s="119" t="s">
        <v>159</v>
      </c>
      <c r="B2" s="120"/>
      <c r="C2" s="120"/>
      <c r="D2" s="121" t="s">
        <v>160</v>
      </c>
      <c r="E2" s="122" t="s">
        <v>161</v>
      </c>
      <c r="F2" s="123"/>
      <c r="G2" s="122"/>
      <c r="H2" s="122"/>
      <c r="I2" s="124"/>
      <c r="J2" s="125" t="s">
        <v>162</v>
      </c>
      <c r="K2" s="125"/>
      <c r="L2" s="126"/>
      <c r="M2" s="127" t="s">
        <v>120</v>
      </c>
      <c r="N2" s="127"/>
      <c r="O2" s="127"/>
      <c r="P2" s="127"/>
      <c r="Q2" s="127"/>
      <c r="R2" s="120" t="s">
        <v>163</v>
      </c>
      <c r="S2" s="120"/>
      <c r="T2" s="120"/>
      <c r="U2" s="120"/>
      <c r="V2" s="120"/>
      <c r="W2" s="128"/>
    </row>
    <row r="3" ht="6.0" customHeight="1">
      <c r="A3" s="129"/>
      <c r="B3" s="129"/>
      <c r="C3" s="129"/>
      <c r="D3" s="129"/>
      <c r="E3" s="129"/>
      <c r="F3" s="129"/>
      <c r="G3" s="129"/>
      <c r="H3" s="129"/>
      <c r="I3" s="129"/>
      <c r="J3" s="129"/>
      <c r="K3" s="129"/>
      <c r="L3" s="129"/>
      <c r="M3" s="129"/>
      <c r="N3" s="129"/>
      <c r="O3" s="129"/>
      <c r="P3" s="129"/>
      <c r="Q3" s="129"/>
      <c r="R3" s="129"/>
      <c r="S3" s="129"/>
      <c r="T3" s="129"/>
      <c r="U3" s="129"/>
      <c r="V3" s="129"/>
      <c r="W3" s="129"/>
    </row>
    <row r="4">
      <c r="A4" s="130" t="s">
        <v>164</v>
      </c>
      <c r="B4" s="130" t="s">
        <v>165</v>
      </c>
      <c r="C4" s="131" t="s">
        <v>166</v>
      </c>
      <c r="D4" s="132" t="s">
        <v>167</v>
      </c>
      <c r="E4" s="133" t="s">
        <v>168</v>
      </c>
      <c r="F4" s="133" t="s">
        <v>169</v>
      </c>
      <c r="G4" s="133" t="s">
        <v>170</v>
      </c>
      <c r="H4" s="133" t="s">
        <v>169</v>
      </c>
      <c r="I4" s="134" t="s">
        <v>171</v>
      </c>
      <c r="J4" s="135" t="s">
        <v>172</v>
      </c>
      <c r="K4" s="136" t="s">
        <v>173</v>
      </c>
      <c r="L4" s="136" t="s">
        <v>174</v>
      </c>
      <c r="M4" s="137" t="s">
        <v>175</v>
      </c>
      <c r="N4" s="137" t="s">
        <v>176</v>
      </c>
      <c r="O4" s="137" t="s">
        <v>24</v>
      </c>
      <c r="P4" s="137" t="s">
        <v>25</v>
      </c>
      <c r="Q4" s="137" t="s">
        <v>26</v>
      </c>
      <c r="R4" s="134" t="s">
        <v>177</v>
      </c>
      <c r="S4" s="134" t="s">
        <v>178</v>
      </c>
      <c r="T4" s="134" t="s">
        <v>179</v>
      </c>
      <c r="U4" s="134" t="s">
        <v>180</v>
      </c>
      <c r="V4" s="134" t="s">
        <v>181</v>
      </c>
      <c r="W4" s="138" t="s">
        <v>182</v>
      </c>
    </row>
    <row r="5" ht="27.0" customHeight="1">
      <c r="A5" s="139" t="s">
        <v>183</v>
      </c>
      <c r="B5" s="139" t="s">
        <v>184</v>
      </c>
      <c r="C5" s="139" t="s">
        <v>185</v>
      </c>
      <c r="D5" s="139" t="s">
        <v>186</v>
      </c>
      <c r="E5" s="140" t="s">
        <v>187</v>
      </c>
      <c r="F5" s="140" t="s">
        <v>188</v>
      </c>
      <c r="G5" s="140" t="s">
        <v>189</v>
      </c>
      <c r="H5" s="140" t="s">
        <v>190</v>
      </c>
      <c r="I5" s="140"/>
      <c r="J5" s="140" t="s">
        <v>191</v>
      </c>
      <c r="K5" s="140" t="s">
        <v>192</v>
      </c>
      <c r="L5" s="140" t="s">
        <v>193</v>
      </c>
      <c r="M5" s="140" t="s">
        <v>194</v>
      </c>
      <c r="N5" s="140" t="s">
        <v>195</v>
      </c>
      <c r="O5" s="140" t="s">
        <v>196</v>
      </c>
      <c r="P5" s="140" t="s">
        <v>197</v>
      </c>
      <c r="Q5" s="140" t="s">
        <v>198</v>
      </c>
      <c r="R5" s="139"/>
      <c r="S5" s="139"/>
      <c r="T5" s="139"/>
      <c r="U5" s="139"/>
      <c r="V5" s="139"/>
      <c r="W5" s="139"/>
    </row>
    <row r="6">
      <c r="A6" s="141" t="s">
        <v>199</v>
      </c>
      <c r="B6" s="141" t="s">
        <v>200</v>
      </c>
      <c r="C6" s="141" t="s">
        <v>201</v>
      </c>
      <c r="D6" s="141" t="s">
        <v>202</v>
      </c>
      <c r="E6" s="141" t="s">
        <v>202</v>
      </c>
      <c r="F6" s="141" t="s">
        <v>203</v>
      </c>
      <c r="G6" s="141" t="s">
        <v>204</v>
      </c>
      <c r="H6" s="141"/>
      <c r="I6" s="141" t="s">
        <v>205</v>
      </c>
      <c r="J6" s="141" t="s">
        <v>206</v>
      </c>
      <c r="K6" s="141" t="s">
        <v>207</v>
      </c>
      <c r="L6" s="141" t="s">
        <v>208</v>
      </c>
      <c r="M6" s="141" t="s">
        <v>209</v>
      </c>
      <c r="N6" s="141"/>
      <c r="O6" s="141"/>
      <c r="P6" s="141"/>
      <c r="Q6" s="141"/>
      <c r="R6" s="141" t="s">
        <v>210</v>
      </c>
      <c r="S6" s="141" t="s">
        <v>211</v>
      </c>
      <c r="T6" s="141" t="s">
        <v>212</v>
      </c>
      <c r="U6" s="141" t="s">
        <v>213</v>
      </c>
      <c r="V6" s="141" t="s">
        <v>214</v>
      </c>
      <c r="W6" s="141" t="s">
        <v>215</v>
      </c>
    </row>
    <row r="7">
      <c r="A7" s="142" t="s">
        <v>216</v>
      </c>
      <c r="B7" s="142" t="s">
        <v>217</v>
      </c>
      <c r="C7" s="142" t="s">
        <v>218</v>
      </c>
      <c r="D7" s="142" t="s">
        <v>219</v>
      </c>
      <c r="E7" s="142" t="s">
        <v>220</v>
      </c>
      <c r="F7" s="142" t="s">
        <v>221</v>
      </c>
      <c r="G7" s="142"/>
      <c r="H7" s="142"/>
      <c r="I7" s="142" t="s">
        <v>222</v>
      </c>
      <c r="J7" s="142" t="s">
        <v>223</v>
      </c>
      <c r="K7" s="142" t="s">
        <v>222</v>
      </c>
      <c r="L7" s="142"/>
      <c r="M7" s="142" t="s">
        <v>224</v>
      </c>
      <c r="N7" s="142"/>
      <c r="O7" s="142"/>
      <c r="P7" s="142"/>
      <c r="Q7" s="142"/>
      <c r="R7" s="142"/>
      <c r="S7" s="142"/>
      <c r="T7" s="142"/>
      <c r="U7" s="142"/>
      <c r="V7" s="142"/>
      <c r="W7" s="142"/>
    </row>
    <row r="8">
      <c r="A8" s="142" t="s">
        <v>225</v>
      </c>
      <c r="G8" s="142"/>
      <c r="H8" s="142"/>
      <c r="L8" s="142"/>
      <c r="N8" s="142"/>
      <c r="O8" s="142"/>
      <c r="P8" s="142"/>
      <c r="Q8" s="142"/>
      <c r="R8" s="142"/>
      <c r="S8" s="142"/>
      <c r="T8" s="142"/>
      <c r="U8" s="142"/>
      <c r="V8" s="142"/>
      <c r="W8" s="142"/>
    </row>
    <row r="9">
      <c r="A9" s="142" t="s">
        <v>226</v>
      </c>
      <c r="C9" s="142" t="s">
        <v>227</v>
      </c>
      <c r="D9" s="142" t="s">
        <v>219</v>
      </c>
      <c r="E9" s="142" t="s">
        <v>220</v>
      </c>
      <c r="F9" s="142" t="s">
        <v>228</v>
      </c>
      <c r="G9" s="142"/>
      <c r="H9" s="142"/>
      <c r="I9" s="142"/>
      <c r="K9" s="142" t="s">
        <v>222</v>
      </c>
      <c r="L9" s="142"/>
      <c r="M9" s="142" t="s">
        <v>229</v>
      </c>
      <c r="N9" s="142"/>
      <c r="O9" s="142"/>
      <c r="P9" s="142"/>
      <c r="Q9" s="142"/>
      <c r="R9" s="142"/>
      <c r="S9" s="142"/>
      <c r="T9" s="142"/>
      <c r="U9" s="142"/>
      <c r="V9" s="142"/>
      <c r="W9" s="142"/>
    </row>
    <row r="10">
      <c r="A10" s="142" t="s">
        <v>230</v>
      </c>
      <c r="G10" s="142"/>
      <c r="H10" s="142"/>
      <c r="L10" s="142"/>
      <c r="N10" s="142"/>
      <c r="O10" s="142"/>
      <c r="P10" s="142"/>
      <c r="Q10" s="142"/>
      <c r="R10" s="142"/>
      <c r="S10" s="142"/>
      <c r="T10" s="142"/>
      <c r="U10" s="142"/>
      <c r="V10" s="142"/>
      <c r="W10" s="142"/>
    </row>
    <row r="11">
      <c r="A11" s="142" t="s">
        <v>231</v>
      </c>
      <c r="C11" s="142" t="s">
        <v>232</v>
      </c>
      <c r="D11" s="142" t="s">
        <v>147</v>
      </c>
      <c r="E11" s="142" t="s">
        <v>233</v>
      </c>
      <c r="F11" s="142" t="s">
        <v>234</v>
      </c>
      <c r="G11" s="142"/>
      <c r="H11" s="142"/>
      <c r="I11" s="142"/>
      <c r="K11" s="142" t="s">
        <v>235</v>
      </c>
      <c r="L11" s="142"/>
      <c r="M11" s="142" t="s">
        <v>236</v>
      </c>
      <c r="N11" s="142"/>
      <c r="O11" s="142"/>
      <c r="P11" s="142"/>
      <c r="Q11" s="142"/>
      <c r="R11" s="142"/>
      <c r="S11" s="142"/>
      <c r="T11" s="142"/>
      <c r="U11" s="142"/>
      <c r="V11" s="142"/>
      <c r="W11" s="142"/>
    </row>
    <row r="12">
      <c r="A12" s="142"/>
      <c r="G12" s="142"/>
      <c r="H12" s="142"/>
      <c r="L12" s="143"/>
      <c r="N12" s="143"/>
      <c r="O12" s="143"/>
      <c r="P12" s="143"/>
      <c r="Q12" s="143"/>
      <c r="R12" s="143"/>
      <c r="S12" s="143"/>
      <c r="T12" s="143"/>
      <c r="U12" s="143"/>
      <c r="V12" s="143"/>
      <c r="W12" s="143"/>
    </row>
    <row r="13">
      <c r="A13" s="142" t="s">
        <v>225</v>
      </c>
      <c r="B13" s="142" t="s">
        <v>237</v>
      </c>
      <c r="C13" s="142" t="s">
        <v>238</v>
      </c>
      <c r="D13" s="142" t="s">
        <v>89</v>
      </c>
      <c r="E13" s="142" t="s">
        <v>239</v>
      </c>
      <c r="F13" s="142" t="s">
        <v>221</v>
      </c>
      <c r="G13" s="142"/>
      <c r="H13" s="142"/>
      <c r="I13" s="142"/>
      <c r="J13" s="142" t="s">
        <v>223</v>
      </c>
      <c r="K13" s="142" t="s">
        <v>222</v>
      </c>
      <c r="L13" s="142"/>
      <c r="M13" s="142"/>
      <c r="N13" s="142"/>
      <c r="O13" s="142"/>
      <c r="P13" s="142"/>
      <c r="Q13" s="142"/>
      <c r="R13" s="142"/>
      <c r="S13" s="142"/>
      <c r="T13" s="142"/>
      <c r="U13" s="142"/>
      <c r="V13" s="142"/>
      <c r="W13" s="142"/>
    </row>
    <row r="14">
      <c r="A14" s="142" t="s">
        <v>230</v>
      </c>
      <c r="G14" s="142"/>
      <c r="H14" s="142"/>
      <c r="L14" s="142"/>
      <c r="N14" s="142"/>
      <c r="O14" s="142"/>
      <c r="P14" s="142"/>
      <c r="Q14" s="142"/>
      <c r="R14" s="142"/>
      <c r="S14" s="142"/>
      <c r="T14" s="142"/>
      <c r="U14" s="142"/>
      <c r="V14" s="142"/>
      <c r="W14" s="142"/>
    </row>
    <row r="15">
      <c r="A15" s="142" t="s">
        <v>231</v>
      </c>
      <c r="C15" s="142" t="s">
        <v>240</v>
      </c>
      <c r="D15" s="142" t="s">
        <v>89</v>
      </c>
      <c r="E15" s="142" t="s">
        <v>239</v>
      </c>
      <c r="F15" s="142" t="s">
        <v>241</v>
      </c>
      <c r="G15" s="142"/>
      <c r="H15" s="142"/>
      <c r="I15" s="142"/>
      <c r="J15" s="142" t="s">
        <v>223</v>
      </c>
      <c r="K15" s="142" t="s">
        <v>242</v>
      </c>
      <c r="L15" s="142"/>
      <c r="M15" s="142"/>
      <c r="N15" s="142"/>
      <c r="O15" s="142"/>
      <c r="P15" s="142"/>
      <c r="Q15" s="142"/>
      <c r="R15" s="142"/>
      <c r="S15" s="142"/>
      <c r="T15" s="142"/>
      <c r="U15" s="142"/>
      <c r="V15" s="142"/>
      <c r="W15" s="142"/>
    </row>
    <row r="16">
      <c r="G16" s="142"/>
      <c r="H16" s="142"/>
      <c r="L16" s="142"/>
      <c r="N16" s="142"/>
      <c r="O16" s="142"/>
      <c r="P16" s="142"/>
      <c r="Q16" s="142"/>
      <c r="R16" s="142"/>
      <c r="S16" s="142"/>
      <c r="T16" s="142"/>
      <c r="U16" s="142"/>
      <c r="V16" s="142"/>
      <c r="W16" s="142"/>
    </row>
    <row r="17">
      <c r="C17" s="142" t="s">
        <v>243</v>
      </c>
      <c r="D17" s="142" t="s">
        <v>89</v>
      </c>
      <c r="E17" s="142" t="s">
        <v>239</v>
      </c>
      <c r="F17" s="142" t="s">
        <v>234</v>
      </c>
      <c r="G17" s="142"/>
      <c r="H17" s="142"/>
      <c r="I17" s="142"/>
      <c r="J17" s="142" t="s">
        <v>244</v>
      </c>
      <c r="K17" s="142" t="s">
        <v>245</v>
      </c>
      <c r="L17" s="142"/>
      <c r="M17" s="142"/>
      <c r="N17" s="142"/>
      <c r="O17" s="142"/>
      <c r="P17" s="142"/>
      <c r="Q17" s="142"/>
      <c r="R17" s="142"/>
      <c r="S17" s="142"/>
      <c r="T17" s="142"/>
      <c r="U17" s="142"/>
      <c r="V17" s="142"/>
      <c r="W17" s="142"/>
    </row>
    <row r="18">
      <c r="A18" s="142"/>
      <c r="G18" s="142"/>
      <c r="H18" s="142"/>
      <c r="L18" s="143"/>
      <c r="N18" s="143"/>
      <c r="O18" s="143"/>
      <c r="P18" s="143"/>
      <c r="Q18" s="143"/>
      <c r="R18" s="143"/>
      <c r="S18" s="143"/>
      <c r="T18" s="143"/>
      <c r="U18" s="143"/>
      <c r="V18" s="143"/>
      <c r="W18" s="143"/>
    </row>
    <row r="19">
      <c r="A19" s="142" t="s">
        <v>216</v>
      </c>
      <c r="B19" s="142" t="s">
        <v>246</v>
      </c>
      <c r="C19" s="142" t="s">
        <v>247</v>
      </c>
      <c r="D19" s="142" t="s">
        <v>219</v>
      </c>
      <c r="E19" s="142" t="s">
        <v>248</v>
      </c>
      <c r="F19" s="142" t="s">
        <v>228</v>
      </c>
      <c r="G19" s="142"/>
      <c r="H19" s="142"/>
      <c r="I19" s="142"/>
      <c r="J19" s="142"/>
      <c r="K19" s="142"/>
      <c r="L19" s="142"/>
      <c r="M19" s="142"/>
      <c r="N19" s="142"/>
      <c r="O19" s="142"/>
      <c r="P19" s="142"/>
      <c r="Q19" s="142"/>
      <c r="R19" s="142"/>
      <c r="S19" s="142"/>
      <c r="T19" s="142"/>
      <c r="U19" s="142"/>
      <c r="V19" s="142"/>
      <c r="W19" s="142"/>
    </row>
    <row r="20">
      <c r="A20" s="142" t="s">
        <v>225</v>
      </c>
      <c r="G20" s="142"/>
      <c r="H20" s="142"/>
      <c r="L20" s="142"/>
      <c r="N20" s="142"/>
      <c r="O20" s="142"/>
      <c r="P20" s="142"/>
      <c r="Q20" s="142"/>
      <c r="R20" s="142"/>
      <c r="S20" s="142"/>
      <c r="T20" s="142"/>
      <c r="U20" s="142"/>
      <c r="V20" s="142"/>
      <c r="W20" s="142"/>
    </row>
    <row r="21">
      <c r="A21" s="142" t="s">
        <v>226</v>
      </c>
      <c r="C21" s="142" t="s">
        <v>249</v>
      </c>
      <c r="D21" s="142" t="s">
        <v>219</v>
      </c>
      <c r="E21" s="142" t="s">
        <v>250</v>
      </c>
      <c r="F21" s="142" t="s">
        <v>241</v>
      </c>
      <c r="G21" s="142"/>
      <c r="H21" s="142"/>
      <c r="I21" s="142"/>
      <c r="K21" s="142"/>
      <c r="L21" s="142"/>
      <c r="M21" s="142"/>
      <c r="N21" s="142"/>
      <c r="O21" s="142"/>
      <c r="P21" s="142"/>
      <c r="Q21" s="142"/>
      <c r="R21" s="142"/>
      <c r="S21" s="142"/>
      <c r="T21" s="142"/>
      <c r="U21" s="142"/>
      <c r="V21" s="142"/>
      <c r="W21" s="142"/>
    </row>
    <row r="22">
      <c r="A22" s="142"/>
      <c r="G22" s="142"/>
      <c r="H22" s="142"/>
      <c r="L22" s="142"/>
      <c r="N22" s="142"/>
      <c r="O22" s="142"/>
      <c r="P22" s="142"/>
      <c r="Q22" s="142"/>
      <c r="R22" s="142"/>
      <c r="S22" s="142"/>
      <c r="T22" s="142"/>
      <c r="U22" s="142"/>
      <c r="V22" s="142"/>
      <c r="W22" s="142"/>
    </row>
    <row r="23">
      <c r="A23" s="142"/>
      <c r="C23" s="142" t="s">
        <v>251</v>
      </c>
      <c r="D23" s="142" t="s">
        <v>89</v>
      </c>
      <c r="E23" s="142" t="s">
        <v>252</v>
      </c>
      <c r="F23" s="142" t="s">
        <v>241</v>
      </c>
      <c r="G23" s="142"/>
      <c r="H23" s="142"/>
      <c r="I23" s="142"/>
      <c r="K23" s="142"/>
      <c r="L23" s="142"/>
      <c r="M23" s="142"/>
      <c r="N23" s="142"/>
      <c r="O23" s="142"/>
      <c r="P23" s="142"/>
      <c r="Q23" s="142"/>
      <c r="R23" s="142"/>
      <c r="S23" s="142"/>
      <c r="T23" s="142"/>
      <c r="U23" s="142"/>
      <c r="V23" s="142"/>
      <c r="W23" s="142"/>
    </row>
    <row r="24">
      <c r="A24" s="142"/>
      <c r="G24" s="142"/>
      <c r="H24" s="142"/>
      <c r="L24" s="143"/>
      <c r="N24" s="143"/>
      <c r="O24" s="143"/>
      <c r="P24" s="143"/>
      <c r="Q24" s="143"/>
      <c r="R24" s="143"/>
      <c r="S24" s="143"/>
      <c r="T24" s="143"/>
      <c r="U24" s="143"/>
      <c r="V24" s="143"/>
      <c r="W24" s="143"/>
    </row>
    <row r="25">
      <c r="A25" s="142"/>
      <c r="B25" s="142" t="s">
        <v>42</v>
      </c>
      <c r="C25" s="142" t="s">
        <v>37</v>
      </c>
      <c r="D25" s="142" t="s">
        <v>149</v>
      </c>
      <c r="E25" s="142" t="s">
        <v>250</v>
      </c>
      <c r="F25" s="142"/>
      <c r="G25" s="142"/>
      <c r="H25" s="142"/>
      <c r="I25" s="142"/>
      <c r="J25" s="142"/>
      <c r="K25" s="142"/>
      <c r="L25" s="142"/>
      <c r="M25" s="142"/>
      <c r="N25" s="142"/>
      <c r="O25" s="142"/>
      <c r="P25" s="142"/>
      <c r="Q25" s="142"/>
      <c r="R25" s="142"/>
      <c r="S25" s="142"/>
      <c r="T25" s="142"/>
      <c r="U25" s="142"/>
      <c r="V25" s="142"/>
      <c r="W25" s="142"/>
    </row>
    <row r="26">
      <c r="A26" s="142"/>
      <c r="G26" s="142"/>
      <c r="H26" s="142"/>
      <c r="L26" s="142"/>
      <c r="N26" s="142"/>
      <c r="O26" s="142"/>
      <c r="P26" s="142"/>
      <c r="Q26" s="142"/>
      <c r="R26" s="142"/>
      <c r="S26" s="142"/>
      <c r="T26" s="142"/>
      <c r="U26" s="142"/>
      <c r="V26" s="142"/>
      <c r="W26" s="142"/>
    </row>
    <row r="27">
      <c r="A27" s="142"/>
      <c r="C27" s="142" t="s">
        <v>38</v>
      </c>
      <c r="D27" s="142" t="s">
        <v>253</v>
      </c>
      <c r="E27" s="142" t="s">
        <v>254</v>
      </c>
      <c r="F27" s="142"/>
      <c r="G27" s="142"/>
      <c r="H27" s="142"/>
      <c r="I27" s="142"/>
      <c r="K27" s="142"/>
      <c r="L27" s="142"/>
      <c r="M27" s="142"/>
      <c r="N27" s="142"/>
      <c r="O27" s="142"/>
      <c r="P27" s="142"/>
      <c r="Q27" s="142"/>
      <c r="R27" s="142"/>
      <c r="S27" s="142"/>
      <c r="T27" s="142"/>
      <c r="U27" s="142"/>
      <c r="V27" s="142"/>
      <c r="W27" s="142"/>
    </row>
    <row r="28">
      <c r="A28" s="142"/>
      <c r="G28" s="142"/>
      <c r="H28" s="142"/>
      <c r="L28" s="142"/>
      <c r="N28" s="142"/>
      <c r="O28" s="142"/>
      <c r="P28" s="142"/>
      <c r="Q28" s="142"/>
      <c r="R28" s="142"/>
      <c r="S28" s="142"/>
      <c r="T28" s="142"/>
      <c r="U28" s="142"/>
      <c r="V28" s="142"/>
      <c r="W28" s="142"/>
    </row>
    <row r="29">
      <c r="A29" s="142"/>
      <c r="C29" s="142" t="s">
        <v>39</v>
      </c>
      <c r="D29" s="142" t="s">
        <v>151</v>
      </c>
      <c r="E29" s="142" t="s">
        <v>254</v>
      </c>
      <c r="F29" s="142"/>
      <c r="G29" s="142"/>
      <c r="H29" s="142"/>
      <c r="I29" s="142"/>
      <c r="K29" s="142"/>
      <c r="L29" s="142"/>
      <c r="M29" s="142"/>
      <c r="N29" s="142"/>
      <c r="O29" s="142"/>
      <c r="P29" s="142"/>
      <c r="Q29" s="142"/>
      <c r="R29" s="142"/>
      <c r="S29" s="142"/>
      <c r="T29" s="142"/>
      <c r="U29" s="142"/>
      <c r="V29" s="142"/>
      <c r="W29" s="142"/>
    </row>
    <row r="30">
      <c r="A30" s="142"/>
      <c r="G30" s="142"/>
      <c r="H30" s="142"/>
      <c r="L30" s="143"/>
      <c r="N30" s="143"/>
      <c r="O30" s="143"/>
      <c r="P30" s="143"/>
      <c r="Q30" s="143"/>
      <c r="R30" s="143"/>
      <c r="S30" s="143"/>
      <c r="T30" s="143"/>
      <c r="U30" s="143"/>
      <c r="V30" s="143"/>
      <c r="W30" s="143"/>
    </row>
    <row r="31">
      <c r="A31" s="142"/>
      <c r="B31" s="142" t="s">
        <v>43</v>
      </c>
      <c r="C31" s="142" t="s">
        <v>37</v>
      </c>
      <c r="D31" s="142" t="s">
        <v>253</v>
      </c>
      <c r="E31" s="142" t="s">
        <v>255</v>
      </c>
      <c r="F31" s="142" t="s">
        <v>228</v>
      </c>
      <c r="G31" s="142"/>
      <c r="H31" s="142"/>
      <c r="I31" s="142"/>
      <c r="J31" s="142"/>
      <c r="K31" s="142"/>
      <c r="L31" s="142"/>
      <c r="M31" s="142"/>
      <c r="N31" s="142"/>
      <c r="O31" s="142"/>
      <c r="P31" s="142"/>
      <c r="Q31" s="142"/>
      <c r="R31" s="142"/>
      <c r="S31" s="142"/>
      <c r="T31" s="142"/>
      <c r="U31" s="142"/>
      <c r="V31" s="142"/>
      <c r="W31" s="142"/>
    </row>
    <row r="32">
      <c r="A32" s="142"/>
      <c r="G32" s="142"/>
      <c r="H32" s="142"/>
      <c r="L32" s="142"/>
      <c r="N32" s="142"/>
      <c r="O32" s="142"/>
      <c r="P32" s="142"/>
      <c r="Q32" s="142"/>
      <c r="R32" s="142"/>
      <c r="S32" s="142"/>
      <c r="T32" s="142"/>
      <c r="U32" s="142"/>
      <c r="V32" s="142"/>
      <c r="W32" s="142"/>
    </row>
    <row r="33">
      <c r="A33" s="142"/>
      <c r="C33" s="142" t="s">
        <v>38</v>
      </c>
      <c r="D33" s="142" t="s">
        <v>149</v>
      </c>
      <c r="E33" s="142" t="s">
        <v>256</v>
      </c>
      <c r="F33" s="142"/>
      <c r="G33" s="142"/>
      <c r="H33" s="142"/>
      <c r="I33" s="142"/>
      <c r="K33" s="142"/>
      <c r="L33" s="142"/>
      <c r="M33" s="142"/>
      <c r="N33" s="142"/>
      <c r="O33" s="142"/>
      <c r="P33" s="142"/>
      <c r="Q33" s="142"/>
      <c r="R33" s="142"/>
      <c r="S33" s="142"/>
      <c r="T33" s="142"/>
      <c r="U33" s="142"/>
      <c r="V33" s="142"/>
      <c r="W33" s="142"/>
    </row>
    <row r="34">
      <c r="A34" s="142"/>
      <c r="G34" s="142"/>
      <c r="H34" s="142"/>
      <c r="L34" s="142"/>
      <c r="N34" s="142"/>
      <c r="O34" s="142"/>
      <c r="P34" s="142"/>
      <c r="Q34" s="142"/>
      <c r="R34" s="142"/>
      <c r="S34" s="142"/>
      <c r="T34" s="142"/>
      <c r="U34" s="142"/>
      <c r="V34" s="142"/>
      <c r="W34" s="142"/>
    </row>
    <row r="35">
      <c r="A35" s="142"/>
      <c r="C35" s="142" t="s">
        <v>39</v>
      </c>
      <c r="D35" s="142" t="s">
        <v>149</v>
      </c>
      <c r="E35" s="142" t="s">
        <v>257</v>
      </c>
      <c r="F35" s="142"/>
      <c r="G35" s="142"/>
      <c r="H35" s="142"/>
      <c r="I35" s="142"/>
      <c r="K35" s="142"/>
      <c r="L35" s="142"/>
      <c r="M35" s="142"/>
      <c r="N35" s="142"/>
      <c r="O35" s="142"/>
      <c r="P35" s="142"/>
      <c r="Q35" s="142"/>
      <c r="R35" s="142"/>
      <c r="S35" s="142"/>
      <c r="T35" s="142"/>
      <c r="U35" s="142"/>
      <c r="V35" s="142"/>
      <c r="W35" s="142"/>
    </row>
    <row r="36">
      <c r="A36" s="142"/>
      <c r="G36" s="142"/>
      <c r="H36" s="142"/>
      <c r="L36" s="143"/>
      <c r="N36" s="143"/>
      <c r="O36" s="143"/>
      <c r="P36" s="143"/>
      <c r="Q36" s="143"/>
      <c r="R36" s="143"/>
      <c r="S36" s="143"/>
      <c r="T36" s="143"/>
      <c r="U36" s="143"/>
      <c r="V36" s="143"/>
      <c r="W36" s="143"/>
    </row>
    <row r="37">
      <c r="A37" s="142"/>
      <c r="B37" s="142" t="s">
        <v>44</v>
      </c>
      <c r="C37" s="142" t="s">
        <v>37</v>
      </c>
      <c r="D37" s="142" t="s">
        <v>148</v>
      </c>
      <c r="E37" s="142" t="s">
        <v>250</v>
      </c>
      <c r="F37" s="142"/>
      <c r="G37" s="142"/>
      <c r="H37" s="142"/>
      <c r="I37" s="142"/>
      <c r="J37" s="142"/>
      <c r="K37" s="142"/>
      <c r="L37" s="142"/>
      <c r="M37" s="142"/>
      <c r="N37" s="142"/>
      <c r="O37" s="142"/>
      <c r="P37" s="142"/>
      <c r="Q37" s="142"/>
      <c r="R37" s="142"/>
      <c r="S37" s="142"/>
      <c r="T37" s="142"/>
      <c r="U37" s="142"/>
      <c r="V37" s="142"/>
      <c r="W37" s="142"/>
    </row>
    <row r="38">
      <c r="A38" s="142"/>
      <c r="G38" s="142"/>
      <c r="H38" s="142"/>
      <c r="L38" s="142"/>
      <c r="N38" s="142"/>
      <c r="O38" s="142"/>
      <c r="P38" s="142"/>
      <c r="Q38" s="142"/>
      <c r="R38" s="142"/>
      <c r="S38" s="142"/>
      <c r="T38" s="142"/>
      <c r="U38" s="142"/>
      <c r="V38" s="142"/>
      <c r="W38" s="142"/>
    </row>
    <row r="39">
      <c r="A39" s="142"/>
      <c r="C39" s="142" t="s">
        <v>38</v>
      </c>
      <c r="D39" s="142" t="s">
        <v>148</v>
      </c>
      <c r="E39" s="142" t="s">
        <v>257</v>
      </c>
      <c r="F39" s="142"/>
      <c r="G39" s="142"/>
      <c r="H39" s="142"/>
      <c r="I39" s="142"/>
      <c r="K39" s="142"/>
      <c r="L39" s="142"/>
      <c r="M39" s="142"/>
      <c r="N39" s="142"/>
      <c r="O39" s="142"/>
      <c r="P39" s="142"/>
      <c r="Q39" s="142"/>
      <c r="R39" s="142"/>
      <c r="S39" s="142"/>
      <c r="T39" s="142"/>
      <c r="U39" s="142"/>
      <c r="V39" s="142"/>
      <c r="W39" s="142"/>
    </row>
    <row r="40">
      <c r="A40" s="142"/>
      <c r="G40" s="142"/>
      <c r="H40" s="142"/>
      <c r="L40" s="142"/>
      <c r="N40" s="142"/>
      <c r="O40" s="142"/>
      <c r="P40" s="142"/>
      <c r="Q40" s="142"/>
      <c r="R40" s="142"/>
      <c r="S40" s="142"/>
      <c r="T40" s="142"/>
      <c r="U40" s="142"/>
      <c r="V40" s="142"/>
      <c r="W40" s="142"/>
    </row>
    <row r="41">
      <c r="A41" s="142"/>
      <c r="C41" s="142" t="s">
        <v>39</v>
      </c>
      <c r="D41" s="142" t="s">
        <v>148</v>
      </c>
      <c r="E41" s="142" t="s">
        <v>258</v>
      </c>
      <c r="F41" s="142"/>
      <c r="G41" s="142"/>
      <c r="H41" s="142"/>
      <c r="I41" s="142"/>
      <c r="K41" s="142"/>
      <c r="L41" s="142"/>
      <c r="M41" s="142"/>
      <c r="N41" s="142"/>
      <c r="O41" s="142"/>
      <c r="P41" s="142"/>
      <c r="Q41" s="142"/>
      <c r="R41" s="142"/>
      <c r="S41" s="142"/>
      <c r="T41" s="142"/>
      <c r="U41" s="142"/>
      <c r="V41" s="142"/>
      <c r="W41" s="142"/>
    </row>
    <row r="42">
      <c r="A42" s="142"/>
      <c r="G42" s="142"/>
      <c r="H42" s="142"/>
      <c r="L42" s="143"/>
      <c r="N42" s="143"/>
      <c r="O42" s="143"/>
      <c r="P42" s="143"/>
      <c r="Q42" s="143"/>
      <c r="R42" s="143"/>
      <c r="S42" s="143"/>
      <c r="T42" s="143"/>
      <c r="U42" s="143"/>
      <c r="V42" s="143"/>
      <c r="W42" s="143"/>
    </row>
    <row r="43">
      <c r="A43" s="142"/>
      <c r="B43" s="142" t="s">
        <v>45</v>
      </c>
      <c r="C43" s="142" t="s">
        <v>37</v>
      </c>
      <c r="D43" s="142"/>
      <c r="E43" s="142"/>
      <c r="F43" s="142"/>
      <c r="G43" s="142"/>
      <c r="H43" s="142"/>
      <c r="I43" s="142"/>
      <c r="J43" s="142"/>
      <c r="K43" s="142"/>
      <c r="L43" s="142"/>
      <c r="M43" s="142"/>
      <c r="N43" s="142"/>
      <c r="O43" s="142"/>
      <c r="P43" s="142"/>
      <c r="Q43" s="142"/>
      <c r="R43" s="142"/>
      <c r="S43" s="142"/>
      <c r="T43" s="142"/>
      <c r="U43" s="142"/>
      <c r="V43" s="142"/>
      <c r="W43" s="142"/>
    </row>
    <row r="44">
      <c r="A44" s="142"/>
      <c r="G44" s="142"/>
      <c r="H44" s="142"/>
      <c r="L44" s="142"/>
      <c r="N44" s="142"/>
      <c r="O44" s="142"/>
      <c r="P44" s="142"/>
      <c r="Q44" s="142"/>
      <c r="R44" s="142"/>
      <c r="S44" s="142"/>
      <c r="T44" s="142"/>
      <c r="U44" s="142"/>
      <c r="V44" s="142"/>
      <c r="W44" s="142"/>
    </row>
    <row r="45">
      <c r="A45" s="142"/>
      <c r="C45" s="142" t="s">
        <v>38</v>
      </c>
      <c r="D45" s="142"/>
      <c r="E45" s="142"/>
      <c r="F45" s="142"/>
      <c r="G45" s="142"/>
      <c r="H45" s="142"/>
      <c r="I45" s="142"/>
      <c r="K45" s="142"/>
      <c r="L45" s="142"/>
      <c r="M45" s="142"/>
      <c r="N45" s="142"/>
      <c r="O45" s="142"/>
      <c r="P45" s="142"/>
      <c r="Q45" s="142"/>
      <c r="R45" s="142"/>
      <c r="S45" s="142"/>
      <c r="T45" s="142"/>
      <c r="U45" s="142"/>
      <c r="V45" s="142"/>
      <c r="W45" s="142"/>
    </row>
    <row r="46">
      <c r="A46" s="142"/>
      <c r="G46" s="142"/>
      <c r="H46" s="142"/>
      <c r="L46" s="142"/>
      <c r="N46" s="142"/>
      <c r="O46" s="142"/>
      <c r="P46" s="142"/>
      <c r="Q46" s="142"/>
      <c r="R46" s="142"/>
      <c r="S46" s="142"/>
      <c r="T46" s="142"/>
      <c r="U46" s="142"/>
      <c r="V46" s="142"/>
      <c r="W46" s="142"/>
    </row>
    <row r="47">
      <c r="A47" s="142"/>
      <c r="C47" s="142" t="s">
        <v>39</v>
      </c>
      <c r="D47" s="142"/>
      <c r="E47" s="142"/>
      <c r="F47" s="142"/>
      <c r="G47" s="142"/>
      <c r="H47" s="142"/>
      <c r="I47" s="142"/>
      <c r="K47" s="142"/>
      <c r="L47" s="142"/>
      <c r="M47" s="142"/>
      <c r="N47" s="142"/>
      <c r="O47" s="142"/>
      <c r="P47" s="142"/>
      <c r="Q47" s="142"/>
      <c r="R47" s="142"/>
      <c r="S47" s="142"/>
      <c r="T47" s="142"/>
      <c r="U47" s="142"/>
      <c r="V47" s="142"/>
      <c r="W47" s="142"/>
    </row>
    <row r="48">
      <c r="A48" s="142"/>
      <c r="G48" s="142"/>
      <c r="H48" s="142"/>
      <c r="L48" s="143"/>
      <c r="N48" s="143"/>
      <c r="O48" s="143"/>
      <c r="P48" s="143"/>
      <c r="Q48" s="143"/>
      <c r="R48" s="143"/>
      <c r="S48" s="143"/>
      <c r="T48" s="143"/>
      <c r="U48" s="143"/>
      <c r="V48" s="143"/>
      <c r="W48" s="143"/>
    </row>
    <row r="49">
      <c r="A49" s="142"/>
      <c r="B49" s="142" t="s">
        <v>46</v>
      </c>
      <c r="C49" s="142" t="s">
        <v>37</v>
      </c>
      <c r="D49" s="142"/>
      <c r="E49" s="142"/>
      <c r="F49" s="142"/>
      <c r="G49" s="142"/>
      <c r="H49" s="142"/>
      <c r="I49" s="142"/>
      <c r="J49" s="142"/>
      <c r="K49" s="142"/>
      <c r="L49" s="142"/>
      <c r="M49" s="142"/>
      <c r="N49" s="142"/>
      <c r="O49" s="142"/>
      <c r="P49" s="142"/>
      <c r="Q49" s="142"/>
      <c r="R49" s="142"/>
      <c r="S49" s="142"/>
      <c r="T49" s="142"/>
      <c r="U49" s="142"/>
      <c r="V49" s="142"/>
      <c r="W49" s="142"/>
    </row>
    <row r="50">
      <c r="A50" s="142"/>
      <c r="G50" s="142"/>
      <c r="H50" s="142"/>
      <c r="L50" s="142"/>
      <c r="N50" s="142"/>
      <c r="O50" s="142"/>
      <c r="P50" s="142"/>
      <c r="Q50" s="142"/>
      <c r="R50" s="142"/>
      <c r="S50" s="142"/>
      <c r="T50" s="142"/>
      <c r="U50" s="142"/>
      <c r="V50" s="142"/>
      <c r="W50" s="142"/>
    </row>
    <row r="51">
      <c r="A51" s="142"/>
      <c r="C51" s="142" t="s">
        <v>38</v>
      </c>
      <c r="D51" s="142"/>
      <c r="E51" s="142"/>
      <c r="F51" s="142"/>
      <c r="G51" s="142"/>
      <c r="H51" s="142"/>
      <c r="I51" s="142"/>
      <c r="K51" s="142"/>
      <c r="L51" s="142"/>
      <c r="M51" s="142"/>
      <c r="N51" s="142"/>
      <c r="O51" s="142"/>
      <c r="P51" s="142"/>
      <c r="Q51" s="142"/>
      <c r="R51" s="142"/>
      <c r="S51" s="142"/>
      <c r="T51" s="142"/>
      <c r="U51" s="142"/>
      <c r="V51" s="142"/>
      <c r="W51" s="142"/>
    </row>
    <row r="52">
      <c r="A52" s="142"/>
      <c r="G52" s="142"/>
      <c r="H52" s="142"/>
      <c r="L52" s="142"/>
      <c r="N52" s="142"/>
      <c r="O52" s="142"/>
      <c r="P52" s="142"/>
      <c r="Q52" s="142"/>
      <c r="R52" s="142"/>
      <c r="S52" s="142"/>
      <c r="T52" s="142"/>
      <c r="U52" s="142"/>
      <c r="V52" s="142"/>
      <c r="W52" s="142"/>
    </row>
    <row r="53">
      <c r="A53" s="142"/>
      <c r="C53" s="142" t="s">
        <v>39</v>
      </c>
      <c r="D53" s="142"/>
      <c r="E53" s="142"/>
      <c r="F53" s="142"/>
      <c r="G53" s="142"/>
      <c r="H53" s="142"/>
      <c r="I53" s="142"/>
      <c r="K53" s="142"/>
      <c r="L53" s="142"/>
      <c r="M53" s="142"/>
      <c r="N53" s="142"/>
      <c r="O53" s="142"/>
      <c r="P53" s="142"/>
      <c r="Q53" s="142"/>
      <c r="R53" s="142"/>
      <c r="S53" s="142"/>
      <c r="T53" s="142"/>
      <c r="U53" s="142"/>
      <c r="V53" s="142"/>
      <c r="W53" s="142"/>
    </row>
    <row r="54">
      <c r="A54" s="142"/>
      <c r="G54" s="142"/>
      <c r="H54" s="142"/>
      <c r="L54" s="143"/>
      <c r="N54" s="143"/>
      <c r="O54" s="143"/>
      <c r="P54" s="143"/>
      <c r="Q54" s="143"/>
      <c r="R54" s="143"/>
      <c r="S54" s="143"/>
      <c r="T54" s="143"/>
      <c r="U54" s="143"/>
      <c r="V54" s="143"/>
      <c r="W54" s="143"/>
    </row>
    <row r="55">
      <c r="A55" s="142"/>
      <c r="B55" s="142" t="s">
        <v>47</v>
      </c>
      <c r="C55" s="142" t="s">
        <v>37</v>
      </c>
      <c r="D55" s="142"/>
      <c r="E55" s="142"/>
      <c r="F55" s="142"/>
      <c r="G55" s="142"/>
      <c r="H55" s="142"/>
      <c r="I55" s="142"/>
      <c r="J55" s="142"/>
      <c r="K55" s="142"/>
      <c r="L55" s="142"/>
      <c r="M55" s="142"/>
      <c r="N55" s="142"/>
      <c r="O55" s="142"/>
      <c r="P55" s="142"/>
      <c r="Q55" s="142"/>
      <c r="R55" s="142"/>
      <c r="S55" s="142"/>
      <c r="T55" s="142"/>
      <c r="U55" s="142"/>
      <c r="V55" s="142"/>
      <c r="W55" s="142"/>
    </row>
    <row r="56">
      <c r="A56" s="142"/>
      <c r="G56" s="142"/>
      <c r="H56" s="142"/>
      <c r="L56" s="142"/>
      <c r="N56" s="142"/>
      <c r="O56" s="142"/>
      <c r="P56" s="142"/>
      <c r="Q56" s="142"/>
      <c r="R56" s="142"/>
      <c r="S56" s="142"/>
      <c r="T56" s="142"/>
      <c r="U56" s="142"/>
      <c r="V56" s="142"/>
      <c r="W56" s="142"/>
    </row>
    <row r="57">
      <c r="A57" s="142"/>
      <c r="C57" s="142" t="s">
        <v>38</v>
      </c>
      <c r="D57" s="142"/>
      <c r="E57" s="142"/>
      <c r="F57" s="142"/>
      <c r="G57" s="142"/>
      <c r="H57" s="142"/>
      <c r="I57" s="142"/>
      <c r="K57" s="142"/>
      <c r="L57" s="142"/>
      <c r="M57" s="142"/>
      <c r="N57" s="142"/>
      <c r="O57" s="142"/>
      <c r="P57" s="142"/>
      <c r="Q57" s="142"/>
      <c r="R57" s="142"/>
      <c r="S57" s="142"/>
      <c r="T57" s="142"/>
      <c r="U57" s="142"/>
      <c r="V57" s="142"/>
      <c r="W57" s="142"/>
    </row>
    <row r="58">
      <c r="A58" s="142"/>
      <c r="G58" s="142"/>
      <c r="H58" s="142"/>
      <c r="L58" s="142"/>
      <c r="N58" s="142"/>
      <c r="O58" s="142"/>
      <c r="P58" s="142"/>
      <c r="Q58" s="142"/>
      <c r="R58" s="142"/>
      <c r="S58" s="142"/>
      <c r="T58" s="142"/>
      <c r="U58" s="142"/>
      <c r="V58" s="142"/>
      <c r="W58" s="142"/>
    </row>
    <row r="59">
      <c r="A59" s="142"/>
      <c r="C59" s="142" t="s">
        <v>39</v>
      </c>
      <c r="D59" s="142"/>
      <c r="E59" s="142"/>
      <c r="F59" s="142"/>
      <c r="G59" s="142"/>
      <c r="H59" s="142"/>
      <c r="I59" s="142"/>
      <c r="K59" s="142"/>
      <c r="L59" s="142"/>
      <c r="M59" s="142"/>
      <c r="N59" s="142"/>
      <c r="O59" s="142"/>
      <c r="P59" s="142"/>
      <c r="Q59" s="142"/>
      <c r="R59" s="142"/>
      <c r="S59" s="142"/>
      <c r="T59" s="142"/>
      <c r="U59" s="142"/>
      <c r="V59" s="142"/>
      <c r="W59" s="142"/>
    </row>
    <row r="60">
      <c r="A60" s="142"/>
      <c r="G60" s="142"/>
      <c r="H60" s="142"/>
      <c r="L60" s="143"/>
      <c r="N60" s="143"/>
      <c r="O60" s="143"/>
      <c r="P60" s="143"/>
      <c r="Q60" s="143"/>
      <c r="R60" s="143"/>
      <c r="S60" s="143"/>
      <c r="T60" s="143"/>
      <c r="U60" s="143"/>
      <c r="V60" s="143"/>
      <c r="W60" s="143"/>
    </row>
    <row r="61">
      <c r="A61" s="142"/>
      <c r="B61" s="142" t="s">
        <v>48</v>
      </c>
      <c r="C61" s="142" t="s">
        <v>37</v>
      </c>
      <c r="D61" s="142"/>
      <c r="E61" s="142"/>
      <c r="F61" s="142"/>
      <c r="G61" s="142"/>
      <c r="H61" s="142"/>
      <c r="I61" s="142"/>
      <c r="J61" s="142"/>
      <c r="K61" s="142"/>
      <c r="L61" s="142"/>
      <c r="M61" s="142"/>
      <c r="N61" s="142"/>
      <c r="O61" s="142"/>
      <c r="P61" s="142"/>
      <c r="Q61" s="142"/>
      <c r="R61" s="142"/>
      <c r="S61" s="142"/>
      <c r="T61" s="142"/>
      <c r="U61" s="142"/>
      <c r="V61" s="142"/>
      <c r="W61" s="142"/>
    </row>
    <row r="62">
      <c r="A62" s="142"/>
      <c r="G62" s="142"/>
      <c r="H62" s="142"/>
      <c r="L62" s="142"/>
      <c r="N62" s="142"/>
      <c r="O62" s="142"/>
      <c r="P62" s="142"/>
      <c r="Q62" s="142"/>
      <c r="R62" s="142"/>
      <c r="S62" s="142"/>
      <c r="T62" s="142"/>
      <c r="U62" s="142"/>
      <c r="V62" s="142"/>
      <c r="W62" s="142"/>
    </row>
    <row r="63">
      <c r="A63" s="142"/>
      <c r="C63" s="142" t="s">
        <v>38</v>
      </c>
      <c r="D63" s="142"/>
      <c r="E63" s="142"/>
      <c r="F63" s="142"/>
      <c r="G63" s="142"/>
      <c r="H63" s="142"/>
      <c r="I63" s="142"/>
      <c r="K63" s="142"/>
      <c r="L63" s="142"/>
      <c r="M63" s="142"/>
      <c r="N63" s="142"/>
      <c r="O63" s="142"/>
      <c r="P63" s="142"/>
      <c r="Q63" s="142"/>
      <c r="R63" s="142"/>
      <c r="S63" s="142"/>
      <c r="T63" s="142"/>
      <c r="U63" s="142"/>
      <c r="V63" s="142"/>
      <c r="W63" s="142"/>
    </row>
    <row r="64">
      <c r="A64" s="142"/>
      <c r="G64" s="142"/>
      <c r="H64" s="142"/>
      <c r="L64" s="142"/>
      <c r="N64" s="142"/>
      <c r="O64" s="142"/>
      <c r="P64" s="142"/>
      <c r="Q64" s="142"/>
      <c r="R64" s="142"/>
      <c r="S64" s="142"/>
      <c r="T64" s="142"/>
      <c r="U64" s="142"/>
      <c r="V64" s="142"/>
      <c r="W64" s="142"/>
    </row>
    <row r="65">
      <c r="A65" s="142"/>
      <c r="C65" s="142" t="s">
        <v>39</v>
      </c>
      <c r="D65" s="142"/>
      <c r="E65" s="142"/>
      <c r="F65" s="142"/>
      <c r="G65" s="142"/>
      <c r="H65" s="142"/>
      <c r="I65" s="142"/>
      <c r="K65" s="142"/>
      <c r="L65" s="142"/>
      <c r="M65" s="142"/>
      <c r="N65" s="142"/>
      <c r="O65" s="142"/>
      <c r="P65" s="142"/>
      <c r="Q65" s="142"/>
      <c r="R65" s="142"/>
      <c r="S65" s="142"/>
      <c r="T65" s="142"/>
      <c r="U65" s="142"/>
      <c r="V65" s="142"/>
      <c r="W65" s="142"/>
    </row>
    <row r="66">
      <c r="A66" s="142"/>
      <c r="G66" s="142"/>
      <c r="H66" s="142"/>
      <c r="L66" s="143"/>
      <c r="N66" s="143"/>
      <c r="O66" s="143"/>
      <c r="P66" s="143"/>
      <c r="Q66" s="143"/>
      <c r="R66" s="143"/>
      <c r="S66" s="143"/>
      <c r="T66" s="143"/>
      <c r="U66" s="143"/>
      <c r="V66" s="143"/>
      <c r="W66" s="143"/>
    </row>
  </sheetData>
  <mergeCells count="233">
    <mergeCell ref="J55:J60"/>
    <mergeCell ref="J61:J66"/>
    <mergeCell ref="J17:J18"/>
    <mergeCell ref="J19:J24"/>
    <mergeCell ref="J25:J30"/>
    <mergeCell ref="J31:J36"/>
    <mergeCell ref="J37:J42"/>
    <mergeCell ref="J43:J48"/>
    <mergeCell ref="J49:J54"/>
    <mergeCell ref="I13:I14"/>
    <mergeCell ref="I15:I16"/>
    <mergeCell ref="J15:J16"/>
    <mergeCell ref="K15:K16"/>
    <mergeCell ref="I17:I18"/>
    <mergeCell ref="K17:K18"/>
    <mergeCell ref="K19:K20"/>
    <mergeCell ref="I19:I20"/>
    <mergeCell ref="I21:I22"/>
    <mergeCell ref="I23:I24"/>
    <mergeCell ref="I25:I26"/>
    <mergeCell ref="I27:I28"/>
    <mergeCell ref="I29:I30"/>
    <mergeCell ref="I31:I32"/>
    <mergeCell ref="K21:K22"/>
    <mergeCell ref="K23:K24"/>
    <mergeCell ref="K25:K26"/>
    <mergeCell ref="K27:K28"/>
    <mergeCell ref="K29:K30"/>
    <mergeCell ref="K31:K32"/>
    <mergeCell ref="K33:K34"/>
    <mergeCell ref="I33:I34"/>
    <mergeCell ref="I35:I36"/>
    <mergeCell ref="I37:I38"/>
    <mergeCell ref="I39:I40"/>
    <mergeCell ref="I41:I42"/>
    <mergeCell ref="I43:I44"/>
    <mergeCell ref="I45:I46"/>
    <mergeCell ref="K35:K36"/>
    <mergeCell ref="K37:K38"/>
    <mergeCell ref="K39:K40"/>
    <mergeCell ref="K41:K42"/>
    <mergeCell ref="K43:K44"/>
    <mergeCell ref="K45:K46"/>
    <mergeCell ref="K47:K48"/>
    <mergeCell ref="I61:I62"/>
    <mergeCell ref="I63:I64"/>
    <mergeCell ref="I65:I66"/>
    <mergeCell ref="I47:I48"/>
    <mergeCell ref="I49:I50"/>
    <mergeCell ref="I51:I52"/>
    <mergeCell ref="I53:I54"/>
    <mergeCell ref="I55:I56"/>
    <mergeCell ref="I57:I58"/>
    <mergeCell ref="I59:I60"/>
    <mergeCell ref="E33:E34"/>
    <mergeCell ref="E35:E36"/>
    <mergeCell ref="F35:F36"/>
    <mergeCell ref="E37:E38"/>
    <mergeCell ref="F37:F38"/>
    <mergeCell ref="E39:E40"/>
    <mergeCell ref="F39:F40"/>
    <mergeCell ref="E41:E42"/>
    <mergeCell ref="F41:F42"/>
    <mergeCell ref="E43:E44"/>
    <mergeCell ref="F43:F44"/>
    <mergeCell ref="E45:E46"/>
    <mergeCell ref="F45:F46"/>
    <mergeCell ref="F47:F48"/>
    <mergeCell ref="E61:E62"/>
    <mergeCell ref="E63:E64"/>
    <mergeCell ref="E65:E66"/>
    <mergeCell ref="E47:E48"/>
    <mergeCell ref="E49:E50"/>
    <mergeCell ref="E51:E52"/>
    <mergeCell ref="E53:E54"/>
    <mergeCell ref="E55:E56"/>
    <mergeCell ref="E57:E58"/>
    <mergeCell ref="E59:E60"/>
    <mergeCell ref="F63:F64"/>
    <mergeCell ref="F65:F66"/>
    <mergeCell ref="F49:F50"/>
    <mergeCell ref="F51:F52"/>
    <mergeCell ref="F53:F54"/>
    <mergeCell ref="F55:F56"/>
    <mergeCell ref="F57:F58"/>
    <mergeCell ref="F59:F60"/>
    <mergeCell ref="F61:F62"/>
    <mergeCell ref="D11:D12"/>
    <mergeCell ref="E11:E12"/>
    <mergeCell ref="D13:D14"/>
    <mergeCell ref="E13:E14"/>
    <mergeCell ref="F13:F14"/>
    <mergeCell ref="E15:E16"/>
    <mergeCell ref="F15:F16"/>
    <mergeCell ref="E19:E20"/>
    <mergeCell ref="F19:F20"/>
    <mergeCell ref="C21:C22"/>
    <mergeCell ref="D21:D22"/>
    <mergeCell ref="E21:E22"/>
    <mergeCell ref="F21:F22"/>
    <mergeCell ref="E23:E24"/>
    <mergeCell ref="F23:F24"/>
    <mergeCell ref="E25:E26"/>
    <mergeCell ref="F25:F26"/>
    <mergeCell ref="E27:E28"/>
    <mergeCell ref="F27:F28"/>
    <mergeCell ref="D15:D16"/>
    <mergeCell ref="D17:D18"/>
    <mergeCell ref="E17:E18"/>
    <mergeCell ref="F17:F18"/>
    <mergeCell ref="B19:B24"/>
    <mergeCell ref="C19:C20"/>
    <mergeCell ref="D19:D20"/>
    <mergeCell ref="C29:C30"/>
    <mergeCell ref="D29:D30"/>
    <mergeCell ref="E29:E30"/>
    <mergeCell ref="F29:F30"/>
    <mergeCell ref="E31:E32"/>
    <mergeCell ref="F31:F32"/>
    <mergeCell ref="F33:F34"/>
    <mergeCell ref="M29:M30"/>
    <mergeCell ref="M31:M32"/>
    <mergeCell ref="M33:M34"/>
    <mergeCell ref="M35:M36"/>
    <mergeCell ref="M37:M38"/>
    <mergeCell ref="M39:M40"/>
    <mergeCell ref="M41:M42"/>
    <mergeCell ref="M57:M58"/>
    <mergeCell ref="M59:M60"/>
    <mergeCell ref="M61:M62"/>
    <mergeCell ref="M63:M64"/>
    <mergeCell ref="M65:M66"/>
    <mergeCell ref="M43:M44"/>
    <mergeCell ref="M45:M46"/>
    <mergeCell ref="M47:M48"/>
    <mergeCell ref="M49:M50"/>
    <mergeCell ref="M51:M52"/>
    <mergeCell ref="M53:M54"/>
    <mergeCell ref="M55:M56"/>
    <mergeCell ref="I7:I8"/>
    <mergeCell ref="K7:K8"/>
    <mergeCell ref="M7:M8"/>
    <mergeCell ref="C9:C10"/>
    <mergeCell ref="D9:D10"/>
    <mergeCell ref="E9:E10"/>
    <mergeCell ref="F9:F10"/>
    <mergeCell ref="K9:K10"/>
    <mergeCell ref="M9:M10"/>
    <mergeCell ref="C7:C8"/>
    <mergeCell ref="C11:C12"/>
    <mergeCell ref="B13:B18"/>
    <mergeCell ref="C13:C14"/>
    <mergeCell ref="C15:C16"/>
    <mergeCell ref="C17:C18"/>
    <mergeCell ref="E2:F2"/>
    <mergeCell ref="B7:B12"/>
    <mergeCell ref="D7:D8"/>
    <mergeCell ref="E7:E8"/>
    <mergeCell ref="F7:F8"/>
    <mergeCell ref="J7:J12"/>
    <mergeCell ref="F11:F12"/>
    <mergeCell ref="I9:I10"/>
    <mergeCell ref="I11:I12"/>
    <mergeCell ref="K11:K12"/>
    <mergeCell ref="M11:M12"/>
    <mergeCell ref="J13:J14"/>
    <mergeCell ref="K13:K14"/>
    <mergeCell ref="M13:M14"/>
    <mergeCell ref="M15:M16"/>
    <mergeCell ref="M17:M18"/>
    <mergeCell ref="M19:M20"/>
    <mergeCell ref="M21:M22"/>
    <mergeCell ref="M23:M24"/>
    <mergeCell ref="M25:M26"/>
    <mergeCell ref="M27:M28"/>
    <mergeCell ref="D61:D62"/>
    <mergeCell ref="D63:D64"/>
    <mergeCell ref="D47:D48"/>
    <mergeCell ref="D49:D50"/>
    <mergeCell ref="D51:D52"/>
    <mergeCell ref="D53:D54"/>
    <mergeCell ref="D55:D56"/>
    <mergeCell ref="D57:D58"/>
    <mergeCell ref="D59:D60"/>
    <mergeCell ref="C27:C28"/>
    <mergeCell ref="C31:C32"/>
    <mergeCell ref="D31:D32"/>
    <mergeCell ref="C33:C34"/>
    <mergeCell ref="D33:D34"/>
    <mergeCell ref="C23:C24"/>
    <mergeCell ref="D23:D24"/>
    <mergeCell ref="B25:B30"/>
    <mergeCell ref="C25:C26"/>
    <mergeCell ref="D25:D26"/>
    <mergeCell ref="D27:D28"/>
    <mergeCell ref="B31:B36"/>
    <mergeCell ref="B43:B48"/>
    <mergeCell ref="B49:B54"/>
    <mergeCell ref="B55:B60"/>
    <mergeCell ref="B61:B66"/>
    <mergeCell ref="C35:C36"/>
    <mergeCell ref="D35:D36"/>
    <mergeCell ref="D37:D38"/>
    <mergeCell ref="D39:D40"/>
    <mergeCell ref="D41:D42"/>
    <mergeCell ref="D43:D44"/>
    <mergeCell ref="D45:D46"/>
    <mergeCell ref="B37:B42"/>
    <mergeCell ref="C37:C38"/>
    <mergeCell ref="C39:C40"/>
    <mergeCell ref="C41:C42"/>
    <mergeCell ref="C43:C44"/>
    <mergeCell ref="C45:C46"/>
    <mergeCell ref="C47:C48"/>
    <mergeCell ref="C63:C64"/>
    <mergeCell ref="C65:C66"/>
    <mergeCell ref="D65:D66"/>
    <mergeCell ref="C49:C50"/>
    <mergeCell ref="C51:C52"/>
    <mergeCell ref="C53:C54"/>
    <mergeCell ref="C55:C56"/>
    <mergeCell ref="C57:C58"/>
    <mergeCell ref="C59:C60"/>
    <mergeCell ref="C61:C62"/>
    <mergeCell ref="K63:K64"/>
    <mergeCell ref="K65:K66"/>
    <mergeCell ref="K49:K50"/>
    <mergeCell ref="K51:K52"/>
    <mergeCell ref="K53:K54"/>
    <mergeCell ref="K55:K56"/>
    <mergeCell ref="K57:K58"/>
    <mergeCell ref="K59:K60"/>
    <mergeCell ref="K61:K62"/>
  </mergeCells>
  <conditionalFormatting sqref="I7:I66 J7:J11 J13:J66">
    <cfRule type="cellIs" dxfId="8" priority="1" operator="equal">
      <formula>"Healthy"</formula>
    </cfRule>
  </conditionalFormatting>
  <conditionalFormatting sqref="I7:I66 J7:J11 J13:J66">
    <cfRule type="containsText" dxfId="9" priority="2" operator="containsText" text="At Risk">
      <formula>NOT(ISERROR(SEARCH(("At Risk"),(I7))))</formula>
    </cfRule>
  </conditionalFormatting>
  <conditionalFormatting sqref="I7:I66 J7:J11 J13:J66">
    <cfRule type="cellIs" dxfId="10" priority="3" operator="equal">
      <formula>"Unhealthy"</formula>
    </cfRule>
  </conditionalFormatting>
  <conditionalFormatting sqref="K7:K66">
    <cfRule type="cellIs" dxfId="8" priority="4" operator="equal">
      <formula>"Healthy"</formula>
    </cfRule>
  </conditionalFormatting>
  <conditionalFormatting sqref="K7:K66">
    <cfRule type="cellIs" dxfId="10" priority="5" operator="equal">
      <formula>"High Risk"</formula>
    </cfRule>
  </conditionalFormatting>
  <conditionalFormatting sqref="K7:K66">
    <cfRule type="cellIs" dxfId="11" priority="6" operator="equal">
      <formula>"Medium Risk"</formula>
    </cfRule>
  </conditionalFormatting>
  <conditionalFormatting sqref="K7:K66">
    <cfRule type="cellIs" dxfId="12" priority="7" operator="equal">
      <formula>"Low Risk"</formula>
    </cfRule>
  </conditionalFormatting>
  <dataValidations>
    <dataValidation type="list" allowBlank="1" sqref="I7 I9 I11 I13 I15 I17 I19 I21 I23 I25 I27 I29 I31 I33 I35 I37 I39 I41 I43 I45 I47 I49 I51 I53 I55 I57 I59 I61 I63 I65">
      <formula1>"Healthy,At Risk,Unhealthy,Not Available"</formula1>
    </dataValidation>
    <dataValidation type="list" allowBlank="1" sqref="J7 J13 J15 J17 J19 J25 J31 J37 J43 J49 J55 J61">
      <formula1>"Tech + Use,System Level,Mitigations,Residual Risk"</formula1>
    </dataValidation>
    <dataValidation type="list" allowBlank="1" sqref="K7 K9 K11 K13 K15 K17 K19 K21 K23 K25 K27 K29 K31 K33 K35 K37 K39 K41 K43 K45 K47 K49 K51 K53 K55 K57 K59 K61 K63 K65">
      <formula1>"Healthy,High Risk,Medium Risk,Low Risk,Not Available"</formula1>
    </dataValidation>
    <dataValidation type="list" allowBlank="1" sqref="F7:H7 G8:H8 F9:H9 G10:H10 F11:H11 G12:H12 F13:H13 G14:H14 F15:H15 G16:H16 F17:H17 G18:H18 F19:H19 G20:H20 F21:H21 G22:H22 F23:H23 G24:H24 F25:H25 G26:H26 F27:H27 G28:H28 F29:H29 G30:H30 F31:H31 G32:H32 F33:H33 G34:H34 F35:H35 G36:H36 F37:H37 G38:H38 F39:H39 G40:H40 F41:H41 G42:H42 F43:H43 G44:H44 F45:H45 G46:H46 F47:H47 G48:H48 F49:H49 G50:H50 F51:H51 G52:H52 F53:H53 G54:H54 F55:H55 G56:H56 F57:H57 G58:H58 F59:H59 G60:H60 F61:H61 G62:H62 F63:H63 G64:H64 F65:H65 G66:H66">
      <formula1>"Extremely helpful,Very helpful,Moderately helpful,Slightly helpful,Not at all helpful"</formula1>
    </dataValidation>
    <dataValidation type="list" allowBlank="1" sqref="M7 M9 M11 M13 M15 M17 M19 M21 M23 M25 M27 M29 M31 M33 M35 M37 M39 M41 M43 M45 M47 M49 M51 M53 M55 M57 M59 M61 M63 M65">
      <formula1>"Human only answer,Automatically calculated answer,Combination answer,No answer,Others"</formula1>
    </dataValidation>
    <dataValidation type="list" allowBlank="1" sqref="E7 E9 E11 E13 E15 E17 E19 E21 E23 E25 E27 E29 E31 E33 E35 E37 E39 E41 E43 E45 E47 E49 E51 E53 E55 E57 E59 E61 E63 E65">
      <formula1>"Access and Availability,Intentionality,Ownership,Source,Representation,Procedures,Actionability / Demonstration,Validity,Considerations,Rationale,Versions,Evaluation of Use,Use by Self,Use by Others,Relativity in Use,None of the above"</formula1>
    </dataValidation>
    <dataValidation type="list" allowBlank="1" sqref="D7 D9 D11 D13 D15 D17 D19 D21 D23 D25 D27 D29 D31 D33 D35 D37 D39 D41 D43 D45 D47 D49 D51 D53 D55 D57 D59 D61 D63 D65">
      <formula1>"Origins,Facts,Transformations,Experience,n=1,Other,N/A"</formula1>
    </dataValidation>
    <dataValidation type="list" allowBlank="1" sqref="R7:R66">
      <formula1>"Writing PRD,Creating a new concept/design,Testing concept/design,Fixing key issues,Key Issues fixed,No plans"</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7.0" topLeftCell="A8" activePane="bottomLeft" state="frozen"/>
      <selection activeCell="B9" sqref="B9" pane="bottomLeft"/>
    </sheetView>
  </sheetViews>
  <sheetFormatPr customHeight="1" defaultColWidth="14.43" defaultRowHeight="15.75"/>
  <cols>
    <col customWidth="1" min="1" max="3" width="39.0"/>
    <col customWidth="1" min="4" max="9" width="21.14"/>
  </cols>
  <sheetData>
    <row r="1" ht="35.25" customHeight="1">
      <c r="A1" s="115" t="s">
        <v>152</v>
      </c>
      <c r="B1" s="116"/>
      <c r="C1" s="116"/>
      <c r="D1" s="117" t="s">
        <v>153</v>
      </c>
      <c r="E1" s="144"/>
      <c r="F1" s="144"/>
      <c r="G1" s="144"/>
      <c r="H1" s="144"/>
      <c r="I1" s="145"/>
    </row>
    <row r="2" ht="35.25" customHeight="1">
      <c r="A2" s="119" t="s">
        <v>259</v>
      </c>
      <c r="B2" s="120"/>
      <c r="C2" s="120"/>
      <c r="D2" s="121" t="s">
        <v>160</v>
      </c>
      <c r="E2" s="146"/>
      <c r="F2" s="146"/>
      <c r="G2" s="146"/>
      <c r="H2" s="146"/>
      <c r="I2" s="147"/>
    </row>
    <row r="3" ht="6.0" customHeight="1">
      <c r="A3" s="129"/>
      <c r="B3" s="129"/>
      <c r="C3" s="129"/>
      <c r="D3" s="129"/>
      <c r="E3" s="129"/>
      <c r="F3" s="129"/>
      <c r="G3" s="129"/>
      <c r="H3" s="129"/>
      <c r="I3" s="148"/>
    </row>
    <row r="4">
      <c r="A4" s="130" t="s">
        <v>164</v>
      </c>
      <c r="B4" s="130" t="s">
        <v>165</v>
      </c>
      <c r="C4" s="131" t="s">
        <v>166</v>
      </c>
      <c r="D4" s="132" t="s">
        <v>167</v>
      </c>
      <c r="E4" s="132"/>
      <c r="F4" s="132"/>
      <c r="G4" s="132"/>
      <c r="H4" s="132"/>
      <c r="I4" s="149"/>
    </row>
    <row r="5" ht="27.0" customHeight="1">
      <c r="A5" s="139" t="s">
        <v>260</v>
      </c>
      <c r="B5" s="139" t="s">
        <v>261</v>
      </c>
      <c r="C5" s="139" t="s">
        <v>262</v>
      </c>
      <c r="D5" s="139" t="s">
        <v>263</v>
      </c>
      <c r="E5" s="139"/>
      <c r="F5" s="139"/>
      <c r="G5" s="139"/>
      <c r="H5" s="139"/>
      <c r="I5" s="150"/>
    </row>
    <row r="6">
      <c r="A6" s="141" t="s">
        <v>199</v>
      </c>
      <c r="B6" s="141" t="s">
        <v>264</v>
      </c>
      <c r="C6" s="141" t="s">
        <v>265</v>
      </c>
      <c r="D6" s="141" t="s">
        <v>89</v>
      </c>
      <c r="E6" s="141" t="s">
        <v>219</v>
      </c>
      <c r="F6" s="141" t="s">
        <v>147</v>
      </c>
      <c r="G6" s="141" t="s">
        <v>148</v>
      </c>
      <c r="H6" s="141" t="s">
        <v>266</v>
      </c>
      <c r="I6" s="151"/>
    </row>
    <row r="7">
      <c r="A7" s="141"/>
      <c r="B7" s="152" t="s">
        <v>267</v>
      </c>
      <c r="D7" s="152" t="s">
        <v>268</v>
      </c>
      <c r="I7" s="153"/>
    </row>
    <row r="8">
      <c r="A8" s="154" t="s">
        <v>216</v>
      </c>
      <c r="B8" s="154" t="s">
        <v>217</v>
      </c>
      <c r="C8" s="154" t="s">
        <v>218</v>
      </c>
      <c r="D8" s="154" t="s">
        <v>269</v>
      </c>
      <c r="E8" s="154" t="s">
        <v>269</v>
      </c>
      <c r="F8" s="154" t="s">
        <v>270</v>
      </c>
      <c r="G8" s="154"/>
      <c r="H8" s="154"/>
      <c r="I8" s="155" t="str">
        <f t="shared" ref="I8:I66" si="1">if(countif(D8:H8,"Primary")=1, "Done", if(countif(D8:H8,"Primary")&gt;1, "Select ONE primary field", "Select primary field"))</f>
        <v>Done</v>
      </c>
    </row>
    <row r="9">
      <c r="A9" s="154" t="s">
        <v>225</v>
      </c>
      <c r="B9" s="154" t="s">
        <v>217</v>
      </c>
      <c r="C9" s="154" t="s">
        <v>218</v>
      </c>
      <c r="D9" s="154" t="s">
        <v>271</v>
      </c>
      <c r="E9" s="154" t="s">
        <v>271</v>
      </c>
      <c r="F9" s="154" t="s">
        <v>270</v>
      </c>
      <c r="G9" s="154"/>
      <c r="H9" s="154"/>
      <c r="I9" s="155" t="str">
        <f t="shared" si="1"/>
        <v>Done</v>
      </c>
    </row>
    <row r="10">
      <c r="A10" s="154" t="s">
        <v>226</v>
      </c>
      <c r="B10" s="154" t="s">
        <v>217</v>
      </c>
      <c r="C10" s="154" t="s">
        <v>227</v>
      </c>
      <c r="D10" s="154" t="s">
        <v>272</v>
      </c>
      <c r="E10" s="154" t="s">
        <v>272</v>
      </c>
      <c r="F10" s="154" t="s">
        <v>270</v>
      </c>
      <c r="G10" s="154"/>
      <c r="H10" s="154"/>
      <c r="I10" s="155" t="str">
        <f t="shared" si="1"/>
        <v>Done</v>
      </c>
    </row>
    <row r="11">
      <c r="A11" s="154" t="s">
        <v>230</v>
      </c>
      <c r="B11" s="154" t="s">
        <v>217</v>
      </c>
      <c r="C11" s="154" t="s">
        <v>227</v>
      </c>
      <c r="D11" s="154" t="s">
        <v>151</v>
      </c>
      <c r="E11" s="154" t="s">
        <v>151</v>
      </c>
      <c r="F11" s="154" t="s">
        <v>270</v>
      </c>
      <c r="G11" s="154"/>
      <c r="H11" s="154"/>
      <c r="I11" s="155" t="str">
        <f t="shared" si="1"/>
        <v>Done</v>
      </c>
    </row>
    <row r="12">
      <c r="A12" s="154" t="s">
        <v>231</v>
      </c>
      <c r="B12" s="154" t="s">
        <v>217</v>
      </c>
      <c r="C12" s="154" t="s">
        <v>232</v>
      </c>
      <c r="D12" s="154" t="s">
        <v>269</v>
      </c>
      <c r="E12" s="154" t="s">
        <v>269</v>
      </c>
      <c r="F12" s="154" t="s">
        <v>270</v>
      </c>
      <c r="G12" s="154"/>
      <c r="H12" s="154"/>
      <c r="I12" s="155" t="str">
        <f t="shared" si="1"/>
        <v>Done</v>
      </c>
    </row>
    <row r="13">
      <c r="A13" s="154" t="s">
        <v>225</v>
      </c>
      <c r="B13" s="154" t="s">
        <v>237</v>
      </c>
      <c r="C13" s="154" t="s">
        <v>238</v>
      </c>
      <c r="D13" s="154" t="s">
        <v>271</v>
      </c>
      <c r="E13" s="154" t="s">
        <v>271</v>
      </c>
      <c r="F13" s="154" t="s">
        <v>270</v>
      </c>
      <c r="G13" s="154"/>
      <c r="H13" s="154"/>
      <c r="I13" s="155" t="str">
        <f t="shared" si="1"/>
        <v>Done</v>
      </c>
    </row>
    <row r="14">
      <c r="A14" s="154" t="s">
        <v>230</v>
      </c>
      <c r="B14" s="154" t="s">
        <v>237</v>
      </c>
      <c r="C14" s="154" t="s">
        <v>238</v>
      </c>
      <c r="D14" s="154" t="s">
        <v>272</v>
      </c>
      <c r="E14" s="154" t="s">
        <v>272</v>
      </c>
      <c r="F14" s="154" t="s">
        <v>270</v>
      </c>
      <c r="G14" s="154"/>
      <c r="H14" s="154"/>
      <c r="I14" s="155" t="str">
        <f t="shared" si="1"/>
        <v>Done</v>
      </c>
    </row>
    <row r="15">
      <c r="A15" s="154" t="s">
        <v>231</v>
      </c>
      <c r="B15" s="154" t="s">
        <v>237</v>
      </c>
      <c r="C15" s="154" t="s">
        <v>240</v>
      </c>
      <c r="D15" s="154" t="s">
        <v>151</v>
      </c>
      <c r="E15" s="154" t="s">
        <v>151</v>
      </c>
      <c r="F15" s="154" t="s">
        <v>270</v>
      </c>
      <c r="G15" s="154"/>
      <c r="H15" s="154"/>
      <c r="I15" s="155" t="str">
        <f t="shared" si="1"/>
        <v>Done</v>
      </c>
    </row>
    <row r="16">
      <c r="A16" s="156"/>
      <c r="B16" s="154" t="s">
        <v>237</v>
      </c>
      <c r="C16" s="154" t="s">
        <v>240</v>
      </c>
      <c r="D16" s="154" t="s">
        <v>269</v>
      </c>
      <c r="E16" s="154" t="s">
        <v>269</v>
      </c>
      <c r="F16" s="154" t="s">
        <v>270</v>
      </c>
      <c r="G16" s="154"/>
      <c r="H16" s="154"/>
      <c r="I16" s="155" t="str">
        <f t="shared" si="1"/>
        <v>Done</v>
      </c>
    </row>
    <row r="17">
      <c r="A17" s="156"/>
      <c r="B17" s="154" t="s">
        <v>237</v>
      </c>
      <c r="C17" s="154" t="s">
        <v>243</v>
      </c>
      <c r="D17" s="154" t="s">
        <v>271</v>
      </c>
      <c r="E17" s="154" t="s">
        <v>271</v>
      </c>
      <c r="F17" s="154" t="s">
        <v>270</v>
      </c>
      <c r="G17" s="154"/>
      <c r="H17" s="154"/>
      <c r="I17" s="155" t="str">
        <f t="shared" si="1"/>
        <v>Done</v>
      </c>
    </row>
    <row r="18">
      <c r="A18" s="154"/>
      <c r="B18" s="154" t="s">
        <v>237</v>
      </c>
      <c r="C18" s="154" t="s">
        <v>243</v>
      </c>
      <c r="D18" s="154" t="s">
        <v>272</v>
      </c>
      <c r="E18" s="154" t="s">
        <v>272</v>
      </c>
      <c r="F18" s="154" t="s">
        <v>270</v>
      </c>
      <c r="G18" s="154"/>
      <c r="H18" s="154"/>
      <c r="I18" s="155" t="str">
        <f t="shared" si="1"/>
        <v>Done</v>
      </c>
    </row>
    <row r="19">
      <c r="A19" s="154" t="s">
        <v>216</v>
      </c>
      <c r="B19" s="154" t="s">
        <v>246</v>
      </c>
      <c r="C19" s="154" t="s">
        <v>247</v>
      </c>
      <c r="D19" s="154" t="s">
        <v>151</v>
      </c>
      <c r="E19" s="154" t="s">
        <v>151</v>
      </c>
      <c r="F19" s="154" t="s">
        <v>270</v>
      </c>
      <c r="G19" s="154"/>
      <c r="H19" s="154"/>
      <c r="I19" s="155" t="str">
        <f t="shared" si="1"/>
        <v>Done</v>
      </c>
    </row>
    <row r="20">
      <c r="A20" s="154" t="s">
        <v>225</v>
      </c>
      <c r="B20" s="154" t="s">
        <v>246</v>
      </c>
      <c r="C20" s="154" t="s">
        <v>247</v>
      </c>
      <c r="D20" s="154" t="s">
        <v>269</v>
      </c>
      <c r="E20" s="154" t="s">
        <v>269</v>
      </c>
      <c r="F20" s="154" t="s">
        <v>270</v>
      </c>
      <c r="G20" s="154" t="s">
        <v>269</v>
      </c>
      <c r="H20" s="154"/>
      <c r="I20" s="155" t="str">
        <f t="shared" si="1"/>
        <v>Done</v>
      </c>
    </row>
    <row r="21">
      <c r="A21" s="154" t="s">
        <v>226</v>
      </c>
      <c r="B21" s="154" t="s">
        <v>246</v>
      </c>
      <c r="C21" s="154" t="s">
        <v>249</v>
      </c>
      <c r="D21" s="154" t="s">
        <v>271</v>
      </c>
      <c r="E21" s="154" t="s">
        <v>271</v>
      </c>
      <c r="F21" s="154" t="s">
        <v>270</v>
      </c>
      <c r="G21" s="154" t="s">
        <v>271</v>
      </c>
      <c r="H21" s="154"/>
      <c r="I21" s="155" t="str">
        <f t="shared" si="1"/>
        <v>Done</v>
      </c>
    </row>
    <row r="22">
      <c r="A22" s="154"/>
      <c r="B22" s="154" t="s">
        <v>246</v>
      </c>
      <c r="D22" s="154" t="s">
        <v>272</v>
      </c>
      <c r="E22" s="154" t="s">
        <v>272</v>
      </c>
      <c r="F22" s="154" t="s">
        <v>270</v>
      </c>
      <c r="G22" s="154" t="s">
        <v>272</v>
      </c>
      <c r="H22" s="154"/>
      <c r="I22" s="155" t="str">
        <f t="shared" si="1"/>
        <v>Done</v>
      </c>
    </row>
    <row r="23">
      <c r="A23" s="154"/>
      <c r="B23" s="154" t="s">
        <v>246</v>
      </c>
      <c r="C23" s="154" t="s">
        <v>251</v>
      </c>
      <c r="D23" s="154" t="s">
        <v>151</v>
      </c>
      <c r="E23" s="154" t="s">
        <v>151</v>
      </c>
      <c r="F23" s="154" t="s">
        <v>270</v>
      </c>
      <c r="G23" s="154" t="s">
        <v>151</v>
      </c>
      <c r="H23" s="154"/>
      <c r="I23" s="155" t="str">
        <f t="shared" si="1"/>
        <v>Done</v>
      </c>
    </row>
    <row r="24">
      <c r="A24" s="154"/>
      <c r="B24" s="154" t="s">
        <v>246</v>
      </c>
      <c r="D24" s="154" t="s">
        <v>269</v>
      </c>
      <c r="E24" s="154" t="s">
        <v>269</v>
      </c>
      <c r="F24" s="154" t="s">
        <v>270</v>
      </c>
      <c r="G24" s="154" t="s">
        <v>269</v>
      </c>
      <c r="H24" s="154"/>
      <c r="I24" s="155" t="str">
        <f t="shared" si="1"/>
        <v>Done</v>
      </c>
    </row>
    <row r="25">
      <c r="A25" s="154"/>
      <c r="B25" s="154" t="s">
        <v>42</v>
      </c>
      <c r="C25" s="154" t="s">
        <v>37</v>
      </c>
      <c r="D25" s="154" t="s">
        <v>271</v>
      </c>
      <c r="E25" s="154" t="s">
        <v>271</v>
      </c>
      <c r="F25" s="154" t="s">
        <v>270</v>
      </c>
      <c r="G25" s="154" t="s">
        <v>271</v>
      </c>
      <c r="H25" s="154"/>
      <c r="I25" s="155" t="str">
        <f t="shared" si="1"/>
        <v>Done</v>
      </c>
    </row>
    <row r="26">
      <c r="A26" s="154"/>
      <c r="B26" s="154" t="s">
        <v>42</v>
      </c>
      <c r="C26" s="154" t="s">
        <v>37</v>
      </c>
      <c r="D26" s="154" t="s">
        <v>272</v>
      </c>
      <c r="E26" s="154" t="s">
        <v>272</v>
      </c>
      <c r="F26" s="154" t="s">
        <v>270</v>
      </c>
      <c r="G26" s="154" t="s">
        <v>272</v>
      </c>
      <c r="H26" s="154"/>
      <c r="I26" s="155" t="str">
        <f t="shared" si="1"/>
        <v>Done</v>
      </c>
    </row>
    <row r="27">
      <c r="A27" s="154"/>
      <c r="B27" s="154" t="s">
        <v>42</v>
      </c>
      <c r="C27" s="154" t="s">
        <v>38</v>
      </c>
      <c r="D27" s="154" t="s">
        <v>151</v>
      </c>
      <c r="E27" s="154" t="s">
        <v>151</v>
      </c>
      <c r="F27" s="154" t="s">
        <v>270</v>
      </c>
      <c r="G27" s="154" t="s">
        <v>151</v>
      </c>
      <c r="H27" s="154"/>
      <c r="I27" s="155" t="str">
        <f t="shared" si="1"/>
        <v>Done</v>
      </c>
    </row>
    <row r="28">
      <c r="A28" s="154"/>
      <c r="B28" s="154" t="s">
        <v>42</v>
      </c>
      <c r="C28" s="154" t="s">
        <v>38</v>
      </c>
      <c r="D28" s="154" t="s">
        <v>269</v>
      </c>
      <c r="E28" s="154" t="s">
        <v>269</v>
      </c>
      <c r="F28" s="154" t="s">
        <v>270</v>
      </c>
      <c r="G28" s="154" t="s">
        <v>269</v>
      </c>
      <c r="H28" s="154"/>
      <c r="I28" s="155" t="str">
        <f t="shared" si="1"/>
        <v>Done</v>
      </c>
    </row>
    <row r="29">
      <c r="A29" s="154"/>
      <c r="B29" s="154" t="s">
        <v>42</v>
      </c>
      <c r="C29" s="154" t="s">
        <v>39</v>
      </c>
      <c r="D29" s="154" t="s">
        <v>271</v>
      </c>
      <c r="E29" s="154" t="s">
        <v>271</v>
      </c>
      <c r="F29" s="154" t="s">
        <v>270</v>
      </c>
      <c r="G29" s="154" t="s">
        <v>271</v>
      </c>
      <c r="H29" s="154"/>
      <c r="I29" s="155" t="str">
        <f t="shared" si="1"/>
        <v>Done</v>
      </c>
    </row>
    <row r="30">
      <c r="A30" s="154"/>
      <c r="B30" s="154" t="s">
        <v>42</v>
      </c>
      <c r="C30" s="154" t="s">
        <v>39</v>
      </c>
      <c r="D30" s="154" t="s">
        <v>272</v>
      </c>
      <c r="E30" s="154" t="s">
        <v>272</v>
      </c>
      <c r="F30" s="154" t="s">
        <v>270</v>
      </c>
      <c r="G30" s="154" t="s">
        <v>272</v>
      </c>
      <c r="H30" s="154"/>
      <c r="I30" s="155" t="str">
        <f t="shared" si="1"/>
        <v>Done</v>
      </c>
    </row>
    <row r="31">
      <c r="A31" s="154"/>
      <c r="B31" s="154" t="s">
        <v>43</v>
      </c>
      <c r="C31" s="154" t="s">
        <v>37</v>
      </c>
      <c r="D31" s="154" t="s">
        <v>151</v>
      </c>
      <c r="E31" s="154" t="s">
        <v>151</v>
      </c>
      <c r="F31" s="154" t="s">
        <v>270</v>
      </c>
      <c r="G31" s="154" t="s">
        <v>151</v>
      </c>
      <c r="H31" s="154"/>
      <c r="I31" s="155" t="str">
        <f t="shared" si="1"/>
        <v>Done</v>
      </c>
    </row>
    <row r="32">
      <c r="A32" s="154"/>
      <c r="B32" s="154" t="s">
        <v>43</v>
      </c>
      <c r="C32" s="154" t="s">
        <v>37</v>
      </c>
      <c r="D32" s="154" t="s">
        <v>269</v>
      </c>
      <c r="E32" s="154" t="s">
        <v>269</v>
      </c>
      <c r="F32" s="154" t="s">
        <v>270</v>
      </c>
      <c r="G32" s="154"/>
      <c r="H32" s="154" t="s">
        <v>269</v>
      </c>
      <c r="I32" s="155" t="str">
        <f t="shared" si="1"/>
        <v>Done</v>
      </c>
    </row>
    <row r="33">
      <c r="A33" s="154"/>
      <c r="B33" s="154" t="s">
        <v>43</v>
      </c>
      <c r="C33" s="154" t="s">
        <v>38</v>
      </c>
      <c r="D33" s="154" t="s">
        <v>271</v>
      </c>
      <c r="E33" s="154" t="s">
        <v>271</v>
      </c>
      <c r="F33" s="154" t="s">
        <v>270</v>
      </c>
      <c r="G33" s="154"/>
      <c r="H33" s="154" t="s">
        <v>271</v>
      </c>
      <c r="I33" s="155" t="str">
        <f t="shared" si="1"/>
        <v>Done</v>
      </c>
    </row>
    <row r="34">
      <c r="A34" s="154"/>
      <c r="B34" s="154" t="s">
        <v>43</v>
      </c>
      <c r="C34" s="154" t="s">
        <v>38</v>
      </c>
      <c r="D34" s="154" t="s">
        <v>272</v>
      </c>
      <c r="E34" s="154" t="s">
        <v>272</v>
      </c>
      <c r="F34" s="154" t="s">
        <v>270</v>
      </c>
      <c r="G34" s="154"/>
      <c r="H34" s="154" t="s">
        <v>272</v>
      </c>
      <c r="I34" s="155" t="str">
        <f t="shared" si="1"/>
        <v>Done</v>
      </c>
    </row>
    <row r="35">
      <c r="A35" s="154"/>
      <c r="B35" s="154" t="s">
        <v>43</v>
      </c>
      <c r="C35" s="154" t="s">
        <v>39</v>
      </c>
      <c r="D35" s="154" t="s">
        <v>151</v>
      </c>
      <c r="E35" s="154" t="s">
        <v>151</v>
      </c>
      <c r="F35" s="154" t="s">
        <v>270</v>
      </c>
      <c r="G35" s="154"/>
      <c r="H35" s="154" t="s">
        <v>151</v>
      </c>
      <c r="I35" s="155" t="str">
        <f t="shared" si="1"/>
        <v>Done</v>
      </c>
    </row>
    <row r="36">
      <c r="A36" s="154"/>
      <c r="B36" s="154" t="s">
        <v>43</v>
      </c>
      <c r="C36" s="154" t="s">
        <v>39</v>
      </c>
      <c r="D36" s="154" t="s">
        <v>269</v>
      </c>
      <c r="E36" s="154" t="s">
        <v>269</v>
      </c>
      <c r="F36" s="154" t="s">
        <v>270</v>
      </c>
      <c r="G36" s="154"/>
      <c r="H36" s="154" t="s">
        <v>269</v>
      </c>
      <c r="I36" s="155" t="str">
        <f t="shared" si="1"/>
        <v>Done</v>
      </c>
    </row>
    <row r="37">
      <c r="A37" s="154"/>
      <c r="B37" s="154" t="s">
        <v>44</v>
      </c>
      <c r="C37" s="154" t="s">
        <v>37</v>
      </c>
      <c r="D37" s="154" t="s">
        <v>271</v>
      </c>
      <c r="E37" s="154" t="s">
        <v>271</v>
      </c>
      <c r="F37" s="154" t="s">
        <v>270</v>
      </c>
      <c r="G37" s="154"/>
      <c r="H37" s="154" t="s">
        <v>271</v>
      </c>
      <c r="I37" s="155" t="str">
        <f t="shared" si="1"/>
        <v>Done</v>
      </c>
    </row>
    <row r="38">
      <c r="A38" s="154"/>
      <c r="B38" s="154" t="s">
        <v>44</v>
      </c>
      <c r="C38" s="154" t="s">
        <v>37</v>
      </c>
      <c r="D38" s="154" t="s">
        <v>272</v>
      </c>
      <c r="E38" s="154" t="s">
        <v>272</v>
      </c>
      <c r="F38" s="154" t="s">
        <v>270</v>
      </c>
      <c r="G38" s="154"/>
      <c r="H38" s="154" t="s">
        <v>272</v>
      </c>
      <c r="I38" s="155" t="str">
        <f t="shared" si="1"/>
        <v>Done</v>
      </c>
    </row>
    <row r="39">
      <c r="A39" s="154"/>
      <c r="B39" s="154" t="s">
        <v>44</v>
      </c>
      <c r="C39" s="154" t="s">
        <v>38</v>
      </c>
      <c r="D39" s="154" t="s">
        <v>151</v>
      </c>
      <c r="E39" s="154" t="s">
        <v>270</v>
      </c>
      <c r="F39" s="154" t="s">
        <v>270</v>
      </c>
      <c r="G39" s="154"/>
      <c r="H39" s="154" t="s">
        <v>151</v>
      </c>
      <c r="I39" s="155" t="str">
        <f t="shared" si="1"/>
        <v>Select ONE primary field</v>
      </c>
    </row>
    <row r="40">
      <c r="A40" s="154"/>
      <c r="B40" s="154" t="s">
        <v>44</v>
      </c>
      <c r="C40" s="154" t="s">
        <v>38</v>
      </c>
      <c r="D40" s="154" t="s">
        <v>270</v>
      </c>
      <c r="E40" s="154" t="s">
        <v>270</v>
      </c>
      <c r="F40" s="154"/>
      <c r="G40" s="154"/>
      <c r="H40" s="154" t="s">
        <v>269</v>
      </c>
      <c r="I40" s="155" t="str">
        <f t="shared" si="1"/>
        <v>Select ONE primary field</v>
      </c>
    </row>
    <row r="41">
      <c r="A41" s="154"/>
      <c r="B41" s="154" t="s">
        <v>44</v>
      </c>
      <c r="C41" s="154" t="s">
        <v>39</v>
      </c>
      <c r="D41" s="154" t="s">
        <v>270</v>
      </c>
      <c r="E41" s="154" t="s">
        <v>270</v>
      </c>
      <c r="F41" s="154"/>
      <c r="G41" s="154"/>
      <c r="H41" s="154" t="s">
        <v>271</v>
      </c>
      <c r="I41" s="155" t="str">
        <f t="shared" si="1"/>
        <v>Select ONE primary field</v>
      </c>
    </row>
    <row r="42">
      <c r="A42" s="154"/>
      <c r="B42" s="154" t="s">
        <v>44</v>
      </c>
      <c r="C42" s="154" t="s">
        <v>39</v>
      </c>
      <c r="D42" s="154" t="s">
        <v>270</v>
      </c>
      <c r="E42" s="154" t="s">
        <v>270</v>
      </c>
      <c r="F42" s="154"/>
      <c r="G42" s="154"/>
      <c r="H42" s="154" t="s">
        <v>272</v>
      </c>
      <c r="I42" s="155" t="str">
        <f t="shared" si="1"/>
        <v>Select ONE primary field</v>
      </c>
    </row>
    <row r="43">
      <c r="A43" s="154"/>
      <c r="B43" s="154" t="s">
        <v>45</v>
      </c>
      <c r="C43" s="154" t="s">
        <v>37</v>
      </c>
      <c r="D43" s="154" t="s">
        <v>270</v>
      </c>
      <c r="E43" s="154" t="s">
        <v>270</v>
      </c>
      <c r="F43" s="154"/>
      <c r="G43" s="154"/>
      <c r="H43" s="154" t="s">
        <v>151</v>
      </c>
      <c r="I43" s="155" t="str">
        <f t="shared" si="1"/>
        <v>Select ONE primary field</v>
      </c>
    </row>
    <row r="44">
      <c r="A44" s="154"/>
      <c r="B44" s="154" t="s">
        <v>45</v>
      </c>
      <c r="C44" s="154" t="s">
        <v>37</v>
      </c>
      <c r="D44" s="154" t="s">
        <v>270</v>
      </c>
      <c r="E44" s="154" t="s">
        <v>270</v>
      </c>
      <c r="F44" s="154"/>
      <c r="G44" s="154"/>
      <c r="H44" s="154" t="s">
        <v>269</v>
      </c>
      <c r="I44" s="155" t="str">
        <f t="shared" si="1"/>
        <v>Select ONE primary field</v>
      </c>
    </row>
    <row r="45">
      <c r="A45" s="154"/>
      <c r="B45" s="154" t="s">
        <v>45</v>
      </c>
      <c r="C45" s="154" t="s">
        <v>38</v>
      </c>
      <c r="D45" s="154" t="s">
        <v>270</v>
      </c>
      <c r="E45" s="154" t="s">
        <v>270</v>
      </c>
      <c r="F45" s="154"/>
      <c r="G45" s="154"/>
      <c r="H45" s="154" t="s">
        <v>271</v>
      </c>
      <c r="I45" s="155" t="str">
        <f t="shared" si="1"/>
        <v>Select ONE primary field</v>
      </c>
    </row>
    <row r="46">
      <c r="A46" s="154"/>
      <c r="B46" s="154" t="s">
        <v>45</v>
      </c>
      <c r="C46" s="154" t="s">
        <v>38</v>
      </c>
      <c r="D46" s="154" t="s">
        <v>270</v>
      </c>
      <c r="E46" s="154" t="s">
        <v>270</v>
      </c>
      <c r="F46" s="154"/>
      <c r="G46" s="154"/>
      <c r="H46" s="154" t="s">
        <v>272</v>
      </c>
      <c r="I46" s="155" t="str">
        <f t="shared" si="1"/>
        <v>Select ONE primary field</v>
      </c>
    </row>
    <row r="47">
      <c r="A47" s="154"/>
      <c r="B47" s="154" t="s">
        <v>45</v>
      </c>
      <c r="C47" s="154" t="s">
        <v>39</v>
      </c>
      <c r="D47" s="154" t="s">
        <v>270</v>
      </c>
      <c r="E47" s="154" t="s">
        <v>270</v>
      </c>
      <c r="F47" s="154"/>
      <c r="G47" s="154"/>
      <c r="H47" s="154" t="s">
        <v>151</v>
      </c>
      <c r="I47" s="155" t="str">
        <f t="shared" si="1"/>
        <v>Select ONE primary field</v>
      </c>
    </row>
    <row r="48">
      <c r="A48" s="154"/>
      <c r="B48" s="154" t="s">
        <v>45</v>
      </c>
      <c r="C48" s="154" t="s">
        <v>39</v>
      </c>
      <c r="D48" s="154"/>
      <c r="E48" s="154"/>
      <c r="F48" s="154"/>
      <c r="G48" s="154"/>
      <c r="H48" s="154"/>
      <c r="I48" s="155" t="str">
        <f t="shared" si="1"/>
        <v>Select primary field</v>
      </c>
    </row>
    <row r="49">
      <c r="A49" s="154"/>
      <c r="B49" s="154" t="s">
        <v>46</v>
      </c>
      <c r="C49" s="154" t="s">
        <v>37</v>
      </c>
      <c r="D49" s="154"/>
      <c r="E49" s="154"/>
      <c r="F49" s="154"/>
      <c r="G49" s="154"/>
      <c r="H49" s="154"/>
      <c r="I49" s="155" t="str">
        <f t="shared" si="1"/>
        <v>Select primary field</v>
      </c>
    </row>
    <row r="50">
      <c r="A50" s="154"/>
      <c r="B50" s="154" t="s">
        <v>46</v>
      </c>
      <c r="C50" s="154" t="s">
        <v>37</v>
      </c>
      <c r="D50" s="154"/>
      <c r="E50" s="154"/>
      <c r="F50" s="154"/>
      <c r="G50" s="154"/>
      <c r="H50" s="154"/>
      <c r="I50" s="155" t="str">
        <f t="shared" si="1"/>
        <v>Select primary field</v>
      </c>
    </row>
    <row r="51">
      <c r="A51" s="154"/>
      <c r="B51" s="154" t="s">
        <v>46</v>
      </c>
      <c r="C51" s="154" t="s">
        <v>38</v>
      </c>
      <c r="D51" s="154"/>
      <c r="E51" s="154"/>
      <c r="F51" s="154"/>
      <c r="G51" s="154"/>
      <c r="H51" s="154"/>
      <c r="I51" s="155" t="str">
        <f t="shared" si="1"/>
        <v>Select primary field</v>
      </c>
    </row>
    <row r="52">
      <c r="A52" s="154"/>
      <c r="B52" s="154" t="s">
        <v>46</v>
      </c>
      <c r="C52" s="154" t="s">
        <v>38</v>
      </c>
      <c r="D52" s="154"/>
      <c r="E52" s="154"/>
      <c r="F52" s="154"/>
      <c r="G52" s="154"/>
      <c r="H52" s="154"/>
      <c r="I52" s="155" t="str">
        <f t="shared" si="1"/>
        <v>Select primary field</v>
      </c>
    </row>
    <row r="53">
      <c r="A53" s="154"/>
      <c r="B53" s="154" t="s">
        <v>46</v>
      </c>
      <c r="C53" s="154" t="s">
        <v>39</v>
      </c>
      <c r="D53" s="154"/>
      <c r="E53" s="154"/>
      <c r="F53" s="154"/>
      <c r="G53" s="154"/>
      <c r="H53" s="154"/>
      <c r="I53" s="155" t="str">
        <f t="shared" si="1"/>
        <v>Select primary field</v>
      </c>
    </row>
    <row r="54">
      <c r="A54" s="154"/>
      <c r="B54" s="154" t="s">
        <v>46</v>
      </c>
      <c r="C54" s="154" t="s">
        <v>39</v>
      </c>
      <c r="D54" s="154"/>
      <c r="E54" s="154"/>
      <c r="F54" s="154"/>
      <c r="G54" s="154"/>
      <c r="H54" s="154"/>
      <c r="I54" s="155" t="str">
        <f t="shared" si="1"/>
        <v>Select primary field</v>
      </c>
    </row>
    <row r="55">
      <c r="A55" s="154"/>
      <c r="B55" s="154" t="s">
        <v>47</v>
      </c>
      <c r="C55" s="154" t="s">
        <v>37</v>
      </c>
      <c r="D55" s="154"/>
      <c r="E55" s="154"/>
      <c r="F55" s="154"/>
      <c r="G55" s="154"/>
      <c r="H55" s="154"/>
      <c r="I55" s="155" t="str">
        <f t="shared" si="1"/>
        <v>Select primary field</v>
      </c>
    </row>
    <row r="56">
      <c r="A56" s="154"/>
      <c r="B56" s="154" t="s">
        <v>47</v>
      </c>
      <c r="C56" s="154" t="s">
        <v>37</v>
      </c>
      <c r="D56" s="154"/>
      <c r="E56" s="154"/>
      <c r="F56" s="154"/>
      <c r="G56" s="154"/>
      <c r="H56" s="154"/>
      <c r="I56" s="155" t="str">
        <f t="shared" si="1"/>
        <v>Select primary field</v>
      </c>
    </row>
    <row r="57">
      <c r="A57" s="154"/>
      <c r="B57" s="154" t="s">
        <v>47</v>
      </c>
      <c r="C57" s="154" t="s">
        <v>38</v>
      </c>
      <c r="D57" s="154"/>
      <c r="E57" s="154"/>
      <c r="F57" s="154"/>
      <c r="G57" s="154"/>
      <c r="H57" s="154"/>
      <c r="I57" s="155" t="str">
        <f t="shared" si="1"/>
        <v>Select primary field</v>
      </c>
    </row>
    <row r="58">
      <c r="A58" s="154"/>
      <c r="B58" s="154" t="s">
        <v>47</v>
      </c>
      <c r="C58" s="154" t="s">
        <v>38</v>
      </c>
      <c r="D58" s="154"/>
      <c r="E58" s="154"/>
      <c r="F58" s="154"/>
      <c r="G58" s="154"/>
      <c r="H58" s="154"/>
      <c r="I58" s="155" t="str">
        <f t="shared" si="1"/>
        <v>Select primary field</v>
      </c>
    </row>
    <row r="59">
      <c r="A59" s="154"/>
      <c r="B59" s="154" t="s">
        <v>47</v>
      </c>
      <c r="C59" s="154" t="s">
        <v>39</v>
      </c>
      <c r="D59" s="154"/>
      <c r="E59" s="154"/>
      <c r="F59" s="154"/>
      <c r="G59" s="154"/>
      <c r="H59" s="154"/>
      <c r="I59" s="155" t="str">
        <f t="shared" si="1"/>
        <v>Select primary field</v>
      </c>
    </row>
    <row r="60">
      <c r="A60" s="154"/>
      <c r="B60" s="154" t="s">
        <v>47</v>
      </c>
      <c r="C60" s="154" t="s">
        <v>39</v>
      </c>
      <c r="D60" s="154"/>
      <c r="E60" s="154"/>
      <c r="F60" s="154"/>
      <c r="G60" s="154"/>
      <c r="H60" s="154"/>
      <c r="I60" s="155" t="str">
        <f t="shared" si="1"/>
        <v>Select primary field</v>
      </c>
    </row>
    <row r="61">
      <c r="A61" s="154"/>
      <c r="B61" s="154" t="s">
        <v>48</v>
      </c>
      <c r="C61" s="154" t="s">
        <v>37</v>
      </c>
      <c r="D61" s="154"/>
      <c r="E61" s="154"/>
      <c r="F61" s="154"/>
      <c r="G61" s="154"/>
      <c r="H61" s="154"/>
      <c r="I61" s="155" t="str">
        <f t="shared" si="1"/>
        <v>Select primary field</v>
      </c>
    </row>
    <row r="62">
      <c r="A62" s="154"/>
      <c r="B62" s="154" t="s">
        <v>48</v>
      </c>
      <c r="C62" s="154" t="s">
        <v>37</v>
      </c>
      <c r="D62" s="154"/>
      <c r="E62" s="154"/>
      <c r="F62" s="154"/>
      <c r="G62" s="154"/>
      <c r="H62" s="154"/>
      <c r="I62" s="155" t="str">
        <f t="shared" si="1"/>
        <v>Select primary field</v>
      </c>
    </row>
    <row r="63">
      <c r="A63" s="154"/>
      <c r="B63" s="154" t="s">
        <v>48</v>
      </c>
      <c r="C63" s="154" t="s">
        <v>38</v>
      </c>
      <c r="D63" s="154"/>
      <c r="E63" s="154"/>
      <c r="F63" s="154"/>
      <c r="G63" s="154"/>
      <c r="H63" s="154"/>
      <c r="I63" s="155" t="str">
        <f t="shared" si="1"/>
        <v>Select primary field</v>
      </c>
    </row>
    <row r="64">
      <c r="A64" s="154"/>
      <c r="B64" s="154" t="s">
        <v>48</v>
      </c>
      <c r="C64" s="154" t="s">
        <v>38</v>
      </c>
      <c r="D64" s="154"/>
      <c r="E64" s="154"/>
      <c r="F64" s="154"/>
      <c r="G64" s="154"/>
      <c r="H64" s="154"/>
      <c r="I64" s="155" t="str">
        <f t="shared" si="1"/>
        <v>Select primary field</v>
      </c>
    </row>
    <row r="65">
      <c r="A65" s="154"/>
      <c r="B65" s="154" t="s">
        <v>48</v>
      </c>
      <c r="C65" s="154" t="s">
        <v>39</v>
      </c>
      <c r="D65" s="154"/>
      <c r="E65" s="154"/>
      <c r="F65" s="154"/>
      <c r="G65" s="154"/>
      <c r="H65" s="154"/>
      <c r="I65" s="155" t="str">
        <f t="shared" si="1"/>
        <v>Select primary field</v>
      </c>
    </row>
    <row r="66">
      <c r="A66" s="154"/>
      <c r="B66" s="154" t="s">
        <v>48</v>
      </c>
      <c r="C66" s="154" t="s">
        <v>39</v>
      </c>
      <c r="D66" s="154"/>
      <c r="E66" s="154"/>
      <c r="F66" s="154"/>
      <c r="G66" s="154"/>
      <c r="H66" s="154"/>
      <c r="I66" s="155" t="str">
        <f t="shared" si="1"/>
        <v>Select primary field</v>
      </c>
    </row>
    <row r="67">
      <c r="A67" s="142"/>
      <c r="B67" s="142"/>
      <c r="C67" s="142"/>
      <c r="D67" s="142"/>
      <c r="E67" s="142"/>
      <c r="F67" s="142"/>
      <c r="G67" s="142"/>
      <c r="H67" s="142"/>
      <c r="I67" s="155"/>
    </row>
    <row r="68">
      <c r="A68" s="142"/>
      <c r="B68" s="142"/>
      <c r="C68" s="142"/>
      <c r="D68" s="142"/>
      <c r="E68" s="142"/>
      <c r="F68" s="142"/>
      <c r="G68" s="142"/>
      <c r="H68" s="142"/>
      <c r="I68" s="155"/>
    </row>
    <row r="69">
      <c r="A69" s="142"/>
      <c r="B69" s="142"/>
      <c r="C69" s="142"/>
      <c r="D69" s="142"/>
      <c r="E69" s="142"/>
      <c r="F69" s="142"/>
      <c r="G69" s="142"/>
      <c r="H69" s="142"/>
      <c r="I69" s="155"/>
    </row>
    <row r="70">
      <c r="A70" s="142"/>
      <c r="B70" s="142"/>
      <c r="C70" s="142"/>
      <c r="D70" s="142"/>
      <c r="E70" s="142"/>
      <c r="F70" s="142"/>
      <c r="G70" s="142"/>
      <c r="H70" s="142"/>
      <c r="I70" s="155"/>
    </row>
    <row r="71">
      <c r="A71" s="142"/>
      <c r="B71" s="157" t="s">
        <v>273</v>
      </c>
      <c r="C71" s="158"/>
      <c r="E71" s="159"/>
      <c r="F71" s="142"/>
      <c r="G71" s="142"/>
      <c r="H71" s="142"/>
      <c r="I71" s="155"/>
    </row>
    <row r="72">
      <c r="A72" s="142"/>
      <c r="B72" s="160" t="s">
        <v>274</v>
      </c>
      <c r="C72" s="161" t="s">
        <v>275</v>
      </c>
      <c r="E72" s="162"/>
      <c r="F72" s="142"/>
      <c r="G72" s="142"/>
      <c r="H72" s="142"/>
      <c r="I72" s="155"/>
    </row>
    <row r="73">
      <c r="A73" s="142"/>
      <c r="B73" s="160" t="s">
        <v>276</v>
      </c>
      <c r="C73" s="161" t="s">
        <v>277</v>
      </c>
      <c r="E73" s="162"/>
      <c r="F73" s="142"/>
      <c r="G73" s="142"/>
      <c r="H73" s="142"/>
      <c r="I73" s="155"/>
    </row>
    <row r="74">
      <c r="A74" s="142"/>
      <c r="B74" s="160" t="s">
        <v>278</v>
      </c>
      <c r="C74" s="161" t="s">
        <v>279</v>
      </c>
      <c r="E74" s="162"/>
      <c r="F74" s="142"/>
      <c r="G74" s="142"/>
      <c r="H74" s="142"/>
      <c r="I74" s="155"/>
    </row>
    <row r="75">
      <c r="A75" s="142"/>
      <c r="B75" s="142"/>
      <c r="C75" s="142"/>
      <c r="D75" s="142"/>
      <c r="E75" s="142"/>
      <c r="F75" s="142"/>
      <c r="G75" s="142"/>
      <c r="H75" s="142"/>
      <c r="I75" s="155"/>
    </row>
    <row r="76">
      <c r="A76" s="142"/>
      <c r="B76" s="142"/>
      <c r="C76" s="142"/>
      <c r="D76" s="142"/>
      <c r="E76" s="142"/>
      <c r="F76" s="142"/>
      <c r="G76" s="142"/>
      <c r="H76" s="142"/>
      <c r="I76" s="155"/>
    </row>
  </sheetData>
  <mergeCells count="5">
    <mergeCell ref="B7:C7"/>
    <mergeCell ref="D7:H7"/>
    <mergeCell ref="C21:C22"/>
    <mergeCell ref="C23:C24"/>
    <mergeCell ref="B71:C71"/>
  </mergeCells>
  <dataValidations>
    <dataValidation type="list" allowBlank="1" sqref="D8:H66">
      <formula1>"Primary,Tight Coupling,Medium Coupling,Loose Coupling,N/A"</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6.0"/>
    <col customWidth="1" min="3" max="7" width="20.57"/>
    <col customWidth="1" min="11" max="11" width="16.86"/>
    <col customWidth="1" min="12" max="31" width="7.29"/>
  </cols>
  <sheetData>
    <row r="1">
      <c r="A1" s="163" t="s">
        <v>280</v>
      </c>
    </row>
    <row r="2">
      <c r="C2" s="163" t="s">
        <v>270</v>
      </c>
      <c r="D2" s="164" t="s">
        <v>269</v>
      </c>
      <c r="E2" s="163" t="s">
        <v>271</v>
      </c>
      <c r="F2" s="163" t="s">
        <v>272</v>
      </c>
      <c r="G2" s="163" t="s">
        <v>151</v>
      </c>
    </row>
    <row r="3">
      <c r="B3" s="141" t="s">
        <v>281</v>
      </c>
    </row>
    <row r="4">
      <c r="B4" s="141" t="s">
        <v>282</v>
      </c>
    </row>
    <row r="5">
      <c r="B5" s="141" t="s">
        <v>283</v>
      </c>
      <c r="G5" s="164"/>
    </row>
    <row r="6">
      <c r="B6" s="141" t="s">
        <v>284</v>
      </c>
    </row>
    <row r="7">
      <c r="B7" s="141" t="s">
        <v>285</v>
      </c>
    </row>
    <row r="10">
      <c r="D10" s="163" t="s">
        <v>286</v>
      </c>
    </row>
    <row r="11">
      <c r="D11" s="163" t="s">
        <v>287</v>
      </c>
      <c r="E11" s="164"/>
      <c r="F11" s="163"/>
      <c r="G11" s="163"/>
      <c r="H11" s="163"/>
    </row>
    <row r="12">
      <c r="D12" s="163" t="s">
        <v>270</v>
      </c>
      <c r="E12" s="164" t="s">
        <v>269</v>
      </c>
      <c r="F12" s="163" t="s">
        <v>271</v>
      </c>
      <c r="G12" s="163" t="s">
        <v>272</v>
      </c>
      <c r="H12" s="163" t="s">
        <v>151</v>
      </c>
    </row>
    <row r="13">
      <c r="B13" s="141" t="s">
        <v>288</v>
      </c>
      <c r="C13" s="163" t="s">
        <v>270</v>
      </c>
    </row>
    <row r="14">
      <c r="C14" s="164" t="s">
        <v>269</v>
      </c>
    </row>
    <row r="15">
      <c r="C15" s="163" t="s">
        <v>271</v>
      </c>
    </row>
    <row r="16">
      <c r="C16" s="163" t="s">
        <v>272</v>
      </c>
    </row>
    <row r="17">
      <c r="C17" s="163" t="s">
        <v>151</v>
      </c>
    </row>
    <row r="23">
      <c r="J23" s="165" t="s">
        <v>289</v>
      </c>
      <c r="K23" s="166"/>
      <c r="L23" s="167" t="s">
        <v>290</v>
      </c>
      <c r="M23" s="168"/>
      <c r="N23" s="168"/>
      <c r="O23" s="168"/>
      <c r="P23" s="168"/>
      <c r="Q23" s="168"/>
      <c r="R23" s="168"/>
      <c r="S23" s="168"/>
      <c r="T23" s="168"/>
      <c r="U23" s="168"/>
      <c r="V23" s="168"/>
      <c r="W23" s="168"/>
      <c r="X23" s="168"/>
      <c r="Y23" s="168"/>
      <c r="Z23" s="168"/>
      <c r="AA23" s="168"/>
      <c r="AB23" s="168"/>
      <c r="AC23" s="168"/>
      <c r="AD23" s="168"/>
      <c r="AE23" s="158"/>
    </row>
    <row r="24">
      <c r="A24" s="165" t="s">
        <v>291</v>
      </c>
      <c r="B24" s="166"/>
      <c r="C24" s="169" t="s">
        <v>290</v>
      </c>
      <c r="D24" s="170"/>
      <c r="E24" s="170"/>
      <c r="F24" s="170"/>
      <c r="G24" s="166"/>
      <c r="J24" s="171"/>
      <c r="K24" s="172"/>
      <c r="L24" s="173" t="s">
        <v>89</v>
      </c>
      <c r="M24" s="168"/>
      <c r="N24" s="168"/>
      <c r="O24" s="158"/>
      <c r="P24" s="173" t="s">
        <v>219</v>
      </c>
      <c r="Q24" s="168"/>
      <c r="R24" s="168"/>
      <c r="S24" s="158"/>
      <c r="T24" s="173" t="s">
        <v>147</v>
      </c>
      <c r="U24" s="168"/>
      <c r="V24" s="168"/>
      <c r="W24" s="158"/>
      <c r="X24" s="173" t="s">
        <v>148</v>
      </c>
      <c r="Y24" s="168"/>
      <c r="Z24" s="168"/>
      <c r="AA24" s="158"/>
      <c r="AB24" s="173" t="s">
        <v>266</v>
      </c>
      <c r="AC24" s="168"/>
      <c r="AD24" s="168"/>
      <c r="AE24" s="158"/>
    </row>
    <row r="25">
      <c r="A25" s="174"/>
      <c r="B25" s="175"/>
      <c r="C25" s="176" t="s">
        <v>89</v>
      </c>
      <c r="D25" s="176" t="s">
        <v>219</v>
      </c>
      <c r="E25" s="176" t="s">
        <v>147</v>
      </c>
      <c r="F25" s="176" t="s">
        <v>148</v>
      </c>
      <c r="G25" s="176" t="s">
        <v>266</v>
      </c>
      <c r="J25" s="174"/>
      <c r="K25" s="175"/>
      <c r="L25" s="177" t="s">
        <v>274</v>
      </c>
      <c r="M25" s="177" t="s">
        <v>276</v>
      </c>
      <c r="N25" s="177" t="s">
        <v>278</v>
      </c>
      <c r="O25" s="177" t="s">
        <v>151</v>
      </c>
      <c r="P25" s="177" t="s">
        <v>274</v>
      </c>
      <c r="Q25" s="177" t="s">
        <v>276</v>
      </c>
      <c r="R25" s="177" t="s">
        <v>278</v>
      </c>
      <c r="S25" s="177" t="s">
        <v>151</v>
      </c>
      <c r="T25" s="177" t="s">
        <v>274</v>
      </c>
      <c r="U25" s="177" t="s">
        <v>276</v>
      </c>
      <c r="V25" s="177" t="s">
        <v>278</v>
      </c>
      <c r="W25" s="177" t="s">
        <v>151</v>
      </c>
      <c r="X25" s="177" t="s">
        <v>274</v>
      </c>
      <c r="Y25" s="177" t="s">
        <v>276</v>
      </c>
      <c r="Z25" s="177" t="s">
        <v>278</v>
      </c>
      <c r="AA25" s="177" t="s">
        <v>151</v>
      </c>
      <c r="AB25" s="177" t="s">
        <v>274</v>
      </c>
      <c r="AC25" s="177" t="s">
        <v>276</v>
      </c>
      <c r="AD25" s="177" t="s">
        <v>278</v>
      </c>
      <c r="AE25" s="177" t="s">
        <v>151</v>
      </c>
    </row>
    <row r="26">
      <c r="A26" s="178" t="s">
        <v>270</v>
      </c>
      <c r="B26" s="179" t="s">
        <v>89</v>
      </c>
      <c r="C26" s="180"/>
      <c r="D26" s="181" t="s">
        <v>292</v>
      </c>
      <c r="E26" s="181" t="s">
        <v>292</v>
      </c>
      <c r="F26" s="181" t="s">
        <v>292</v>
      </c>
      <c r="G26" s="181" t="s">
        <v>292</v>
      </c>
      <c r="J26" s="182" t="s">
        <v>270</v>
      </c>
      <c r="K26" s="179" t="s">
        <v>89</v>
      </c>
      <c r="L26" s="183"/>
      <c r="M26" s="168"/>
      <c r="N26" s="168"/>
      <c r="O26" s="158"/>
      <c r="P26" s="184">
        <f>IFERROR(__xludf.DUMMYFUNCTION("arrayformula(countif(query('Deprecated Test bed'!D8:H66, ""select E where D='Primary'""), ""Tight Coupling""))"),0.0)</f>
        <v>0</v>
      </c>
      <c r="Q26" s="185">
        <f>IFERROR(__xludf.DUMMYFUNCTION("arrayformula(countif(query('Deprecated Test bed'!D8:H66, ""select E where D='Primary'""), ""Medium Coupling""))"),0.0)</f>
        <v>0</v>
      </c>
      <c r="R26" s="185">
        <f>IFERROR(__xludf.DUMMYFUNCTION("arrayformula(countif(query('Deprecated Test bed'!D8:H66, ""select E where D='Primary'""), ""Loose Coupling""))"),0.0)</f>
        <v>0</v>
      </c>
      <c r="S26" s="185">
        <f>IFERROR(__xludf.DUMMYFUNCTION("arrayformula(countif(query('Deprecated Test bed'!D8:H66, ""select E where D='Primary'""), ""N/A""))"),0.0)</f>
        <v>0</v>
      </c>
      <c r="T26" s="185">
        <f>IFERROR(__xludf.DUMMYFUNCTION("arrayformula(countif(query('Deprecated Test bed'!D8:H66, ""select F where D='Primary'""), ""Tight Coupling""))"),0.0)</f>
        <v>0</v>
      </c>
      <c r="U26" s="185">
        <f>IFERROR(__xludf.DUMMYFUNCTION("arrayformula(countif(query('Deprecated Test bed'!D8:H66, ""select F where D='Primary'""), ""Medium Coupling""))"),0.0)</f>
        <v>0</v>
      </c>
      <c r="V26" s="185">
        <f>IFERROR(__xludf.DUMMYFUNCTION("arrayformula(countif(query('Deprecated Test bed'!D8:H66, ""select F where D='Primary'""), ""Loose Coupling""))"),0.0)</f>
        <v>0</v>
      </c>
      <c r="W26" s="185">
        <f>IFERROR(__xludf.DUMMYFUNCTION("arrayformula(countif(query('Deprecated Test bed'!D8:H66, ""select F where D='Primary'""), ""N/A""))"),0.0)</f>
        <v>0</v>
      </c>
      <c r="X26" s="185">
        <f>IFERROR(__xludf.DUMMYFUNCTION("arrayformula(countif(query('Deprecated Test bed'!D8:H66, ""select G where D='Primary'""), ""Tight Coupling""))"),0.0)</f>
        <v>0</v>
      </c>
      <c r="Y26" s="185">
        <f>IFERROR(__xludf.DUMMYFUNCTION("arrayformula(countif(query('Deprecated Test bed'!D8:H66, ""select G where D='Primary'""), ""Medium Coupling""))"),0.0)</f>
        <v>0</v>
      </c>
      <c r="Z26" s="185">
        <f>IFERROR(__xludf.DUMMYFUNCTION("arrayformula(countif(query('Deprecated Test bed'!D8:H66, ""select G where D='Primary'""), ""Loose Coupling""))"),0.0)</f>
        <v>0</v>
      </c>
      <c r="AA26" s="185">
        <f>IFERROR(__xludf.DUMMYFUNCTION("arrayformula(countif(query('Deprecated Test bed'!D8:H66, ""select G where D='Primary'""), ""N/A""))"),0.0)</f>
        <v>0</v>
      </c>
      <c r="AB26" s="185">
        <f>IFERROR(__xludf.DUMMYFUNCTION("arrayformula(countif(query('Deprecated Test bed'!D8:H66, ""select H where D='Primary'""), ""Tight Coupling""))"),2.0)</f>
        <v>2</v>
      </c>
      <c r="AC26" s="186">
        <f>IFERROR(__xludf.DUMMYFUNCTION("arrayformula(countif(query('Deprecated Test bed'!D8:H66, ""select H where D='Primary'""), ""Medium Coupling""))"),2.0)</f>
        <v>2</v>
      </c>
      <c r="AD26" s="186">
        <f>IFERROR(__xludf.DUMMYFUNCTION("arrayformula(countif(query('Deprecated Test bed'!D8:H66, ""select H where D='Primary'""), ""Loose Coupling""))"),2.0)</f>
        <v>2</v>
      </c>
      <c r="AE26" s="186">
        <f>IFERROR(__xludf.DUMMYFUNCTION("arrayformula(countif(query('Deprecated Test bed'!D8:H66, ""select H where D='Primary'""), ""N/A""))"),2.0)</f>
        <v>2</v>
      </c>
    </row>
    <row r="27">
      <c r="A27" s="187"/>
      <c r="B27" s="179" t="s">
        <v>219</v>
      </c>
      <c r="C27" s="181" t="s">
        <v>292</v>
      </c>
      <c r="D27" s="180"/>
      <c r="E27" s="181" t="s">
        <v>292</v>
      </c>
      <c r="F27" s="181" t="s">
        <v>292</v>
      </c>
      <c r="G27" s="181" t="s">
        <v>292</v>
      </c>
      <c r="J27" s="187"/>
      <c r="K27" s="179" t="s">
        <v>219</v>
      </c>
      <c r="L27" s="188">
        <f>IFERROR(__xludf.DUMMYFUNCTION("arrayformula(countif(query('Deprecated Test bed'!D8:H66, ""select D where E='Primary'""), ""Tight Coupling""))"),0.0)</f>
        <v>0</v>
      </c>
      <c r="M27" s="188">
        <f>IFERROR(__xludf.DUMMYFUNCTION("arrayformula(countif(query('Deprecated Test bed'!D8:H66, ""select D where E='Primary'""), ""Medium Coupling""))"),0.0)</f>
        <v>0</v>
      </c>
      <c r="N27" s="185">
        <f>IFERROR(__xludf.DUMMYFUNCTION("arrayformula(countif(query('Deprecated Test bed'!D8:H66, ""select D where E='Primary'""), ""Loose Coupling""))"),0.0)</f>
        <v>0</v>
      </c>
      <c r="O27" s="185">
        <f>IFERROR(__xludf.DUMMYFUNCTION("arrayformula(countif(query('Deprecated Test bed'!D8:H66, ""select D where E='Primary'""), ""N/A""))"),1.0)</f>
        <v>1</v>
      </c>
      <c r="P27" s="189"/>
      <c r="Q27" s="168"/>
      <c r="R27" s="168"/>
      <c r="S27" s="158"/>
      <c r="T27" s="185">
        <f>IFERROR(__xludf.DUMMYFUNCTION("arrayformula(countif(query('Deprecated Test bed'!D8:H66, ""select F where E='Primary'""), ""Tight Coupling""))"),0.0)</f>
        <v>0</v>
      </c>
      <c r="U27" s="185">
        <f>IFERROR(__xludf.DUMMYFUNCTION("arrayformula(countif(query('Deprecated Test bed'!D8:H66, ""select F where E='Primary'""), ""Medium Coupling""))"),0.0)</f>
        <v>0</v>
      </c>
      <c r="V27" s="185">
        <f>IFERROR(__xludf.DUMMYFUNCTION("arrayformula(countif(query('Deprecated Test bed'!D8:H66, ""select F where E='Primary'""), ""Loose Coupling""))"),0.0)</f>
        <v>0</v>
      </c>
      <c r="W27" s="185">
        <f>IFERROR(__xludf.DUMMYFUNCTION("arrayformula(countif(query('Deprecated Test bed'!D8:H66, ""select D where E='Primary'""), ""N/A""))"),1.0)</f>
        <v>1</v>
      </c>
      <c r="X27" s="185">
        <f>IFERROR(__xludf.DUMMYFUNCTION("arrayformula(countif(query('Deprecated Test bed'!D8:H66, ""select G where E='Primary'""), ""Tight Coupling""))"),0.0)</f>
        <v>0</v>
      </c>
      <c r="Y27" s="185">
        <f>IFERROR(__xludf.DUMMYFUNCTION("arrayformula(countif(query('Deprecated Test bed'!D8:H66, ""select G where E='Primary'""), ""Tight Coupling""))"),0.0)</f>
        <v>0</v>
      </c>
      <c r="Z27" s="185">
        <f>IFERROR(__xludf.DUMMYFUNCTION("arrayformula(countif(query('Deprecated Test bed'!D8:H66, ""select G where E='Primary'""), ""Tight Coupling""))"),0.0)</f>
        <v>0</v>
      </c>
      <c r="AA27" s="185">
        <f>IFERROR(__xludf.DUMMYFUNCTION("arrayformula(countif(query('Deprecated Test bed'!D8:H66, ""select G where E='Primary'""), ""Tight Coupling""))"),0.0)</f>
        <v>0</v>
      </c>
      <c r="AB27" s="185">
        <f>IFERROR(__xludf.DUMMYFUNCTION("arrayformula(countif(query('Deprecated Test bed'!D8:H66, ""select H where E='Primary'""), ""Tight Coupling""))"),2.0)</f>
        <v>2</v>
      </c>
      <c r="AC27" s="186">
        <f>IFERROR(__xludf.DUMMYFUNCTION("arrayformula(countif(query('Deprecated Test bed'!D8:H66, ""select H where E='Primary'""), ""Medium Coupling""))"),2.0)</f>
        <v>2</v>
      </c>
      <c r="AD27" s="186">
        <f>IFERROR(__xludf.DUMMYFUNCTION("arrayformula(countif(query('Deprecated Test bed'!D8:H66, ""select H where E='Primary'""), ""Loose Coupling""))"),2.0)</f>
        <v>2</v>
      </c>
      <c r="AE27" s="186">
        <f>IFERROR(__xludf.DUMMYFUNCTION("arrayformula(countif(query('Deprecated Test bed'!D8:H66, ""select H where E='Primary'""), ""Tight Coupling""))"),2.0)</f>
        <v>2</v>
      </c>
    </row>
    <row r="28">
      <c r="A28" s="187"/>
      <c r="B28" s="179" t="s">
        <v>147</v>
      </c>
      <c r="C28" s="181" t="s">
        <v>292</v>
      </c>
      <c r="D28" s="181" t="s">
        <v>292</v>
      </c>
      <c r="E28" s="180"/>
      <c r="F28" s="181" t="s">
        <v>292</v>
      </c>
      <c r="G28" s="181" t="s">
        <v>292</v>
      </c>
      <c r="J28" s="187"/>
      <c r="K28" s="179" t="s">
        <v>147</v>
      </c>
      <c r="L28" s="185">
        <f>IFERROR(__xludf.DUMMYFUNCTION("arrayformula(countif(query('Deprecated Test bed'!D8:H66, ""select D where F='Primary'""), ""Tight Coupling""))"),8.0)</f>
        <v>8</v>
      </c>
      <c r="M28" s="188">
        <f>IFERROR(__xludf.DUMMYFUNCTION("arrayformula(countif(query('Deprecated Test bed'!D8:H66, ""select D where F='Primary'""), ""Medium Coupling""))"),8.0)</f>
        <v>8</v>
      </c>
      <c r="N28" s="188">
        <f>IFERROR(__xludf.DUMMYFUNCTION("arrayformula(countif(query('Deprecated Test bed'!D8:H66, ""select D where F='Primary'""), ""Loose Coupling""))"),8.0)</f>
        <v>8</v>
      </c>
      <c r="O28" s="188">
        <f>IFERROR(__xludf.DUMMYFUNCTION("arrayformula(countif(query('Deprecated Test bed'!D8:H66, ""select D where F='Primary'""), ""N/A""))"),8.0)</f>
        <v>8</v>
      </c>
      <c r="P28" s="185">
        <f>IFERROR(__xludf.DUMMYFUNCTION("arrayformula(countif(query('Deprecated Test bed'!D8:H66, ""select E where F='Primary'""), ""Tight Coupling""))"),8.0)</f>
        <v>8</v>
      </c>
      <c r="Q28" s="185">
        <f>IFERROR(__xludf.DUMMYFUNCTION("arrayformula(countif(query('Deprecated Test bed'!D8:H66, ""select E where F='Primary'""), ""Medium Coupling""))"),8.0)</f>
        <v>8</v>
      </c>
      <c r="R28" s="185">
        <f>IFERROR(__xludf.DUMMYFUNCTION("arrayformula(countif(query('Deprecated Test bed'!D8:H66, ""select E where F='Primary'""), ""Loose Coupling""))"),8.0)</f>
        <v>8</v>
      </c>
      <c r="S28" s="185">
        <f>IFERROR(__xludf.DUMMYFUNCTION("arrayformula(countif(query('Deprecated Test bed'!D8:H66, ""select E where F='Primary'""), ""N/A""))"),7.0)</f>
        <v>7</v>
      </c>
      <c r="T28" s="189"/>
      <c r="U28" s="168"/>
      <c r="V28" s="168"/>
      <c r="W28" s="158"/>
      <c r="X28" s="185">
        <f>IFERROR(__xludf.DUMMYFUNCTION("arrayformula(countif(query('Deprecated Test bed'!D8:H66, ""select D where F='Primary'""), ""Tight Coupling""))"),8.0)</f>
        <v>8</v>
      </c>
      <c r="Y28" s="185">
        <f>IFERROR(__xludf.DUMMYFUNCTION("arrayformula(countif(query('Deprecated Test bed'!D8:H66, ""select D where F='Primary'""), ""Tight Coupling""))"),8.0)</f>
        <v>8</v>
      </c>
      <c r="Z28" s="185">
        <f>IFERROR(__xludf.DUMMYFUNCTION("arrayformula(countif(query('Deprecated Test bed'!D8:H66, ""select D where F='Primary'""), ""Tight Coupling""))"),8.0)</f>
        <v>8</v>
      </c>
      <c r="AA28" s="185">
        <f>IFERROR(__xludf.DUMMYFUNCTION("arrayformula(countif(query('Deprecated Test bed'!D8:H66, ""select D where F='Primary'""), ""Tight Coupling""))"),8.0)</f>
        <v>8</v>
      </c>
      <c r="AB28" s="185">
        <f>IFERROR(__xludf.DUMMYFUNCTION("arrayformula(countif(query('Deprecated Test bed'!D8:H66, ""select D where F='Primary'""), ""Tight Coupling""))"),8.0)</f>
        <v>8</v>
      </c>
      <c r="AC28" s="186">
        <f>IFERROR(__xludf.DUMMYFUNCTION("arrayformula(countif(query('Deprecated Test bed'!D8:H66, ""select D where F='Primary'""), ""Tight Coupling""))"),8.0)</f>
        <v>8</v>
      </c>
      <c r="AD28" s="186">
        <f>IFERROR(__xludf.DUMMYFUNCTION("arrayformula(countif(query('Deprecated Test bed'!D8:H66, ""select D where F='Primary'""), ""Tight Coupling""))"),8.0)</f>
        <v>8</v>
      </c>
      <c r="AE28" s="186">
        <f>IFERROR(__xludf.DUMMYFUNCTION("arrayformula(countif(query('Deprecated Test bed'!D8:H66, ""select D where F='Primary'""), ""N/A""))"),8.0)</f>
        <v>8</v>
      </c>
    </row>
    <row r="29">
      <c r="A29" s="187"/>
      <c r="B29" s="179" t="s">
        <v>148</v>
      </c>
      <c r="C29" s="181" t="s">
        <v>292</v>
      </c>
      <c r="D29" s="181" t="s">
        <v>292</v>
      </c>
      <c r="E29" s="181" t="s">
        <v>292</v>
      </c>
      <c r="F29" s="180"/>
      <c r="G29" s="181" t="s">
        <v>292</v>
      </c>
      <c r="J29" s="187"/>
      <c r="K29" s="179" t="s">
        <v>148</v>
      </c>
      <c r="L29" s="185">
        <f>IFERROR(__xludf.DUMMYFUNCTION("arrayformula(countif(query('Deprecated Test bed'!D8:H66, ""select D where G='Primary'""), ""Tight Coupling""))"),0.0)</f>
        <v>0</v>
      </c>
      <c r="M29" s="185">
        <f>IFERROR(__xludf.DUMMYFUNCTION("arrayformula(countif(query('Deprecated Test bed'!D8:H66, ""select D where G='Primary'""), ""Medium Coupling""))"),0.0)</f>
        <v>0</v>
      </c>
      <c r="N29" s="185">
        <f>IFERROR(__xludf.DUMMYFUNCTION("arrayformula(countif(query('Deprecated Test bed'!D8:H66, ""select D where G='Primary'""), ""Loose Coupling""))"),0.0)</f>
        <v>0</v>
      </c>
      <c r="O29" s="185">
        <f>IFERROR(__xludf.DUMMYFUNCTION("arrayformula(countif(query('Deprecated Test bed'!D8:H66, ""select D where G='Primary'""), ""N/A""))"),0.0)</f>
        <v>0</v>
      </c>
      <c r="P29" s="185">
        <f>IFERROR(__xludf.DUMMYFUNCTION("arrayformula(countif(query('Deprecated Test bed'!D8:H66, ""select E where G='Primary'""), ""Tight Coupling""))"),0.0)</f>
        <v>0</v>
      </c>
      <c r="Q29" s="185">
        <f>IFERROR(__xludf.DUMMYFUNCTION("arrayformula(countif(query('Deprecated Test bed'!D8:H66, ""select E where G='Primary'""), ""Medium Coupling""))"),0.0)</f>
        <v>0</v>
      </c>
      <c r="R29" s="185">
        <f>IFERROR(__xludf.DUMMYFUNCTION("arrayformula(countif(query('Deprecated Test bed'!D8:H66, ""select E where G='Primary'""), ""Loose Coupling""))"),0.0)</f>
        <v>0</v>
      </c>
      <c r="S29" s="185">
        <f>IFERROR(__xludf.DUMMYFUNCTION("arrayformula(countif(query('Deprecated Test bed'!D8:H66, ""select E where G='Primary'""), ""N/A""))"),0.0)</f>
        <v>0</v>
      </c>
      <c r="T29" s="185">
        <f>IFERROR(__xludf.DUMMYFUNCTION("arrayformula(countif(query('Deprecated Test bed'!D8:H66, ""select F where G='Primary'""), ""Tight Coupling""))"),0.0)</f>
        <v>0</v>
      </c>
      <c r="U29" s="185">
        <f>IFERROR(__xludf.DUMMYFUNCTION("arrayformula(countif(query('Deprecated Test bed'!D8:H66, ""select F where G='Primary'""), ""Medium Coupling""))"),0.0)</f>
        <v>0</v>
      </c>
      <c r="V29" s="185">
        <f>IFERROR(__xludf.DUMMYFUNCTION("arrayformula(countif(query('Deprecated Test bed'!D8:H66, ""select F where G='Primary'""), ""Loose Coupling""))"),0.0)</f>
        <v>0</v>
      </c>
      <c r="W29" s="185">
        <f>IFERROR(__xludf.DUMMYFUNCTION("arrayformula(countif(query('Deprecated Test bed'!D8:H66, ""select F where G='Primary'""), ""N/A""))"),0.0)</f>
        <v>0</v>
      </c>
      <c r="X29" s="189"/>
      <c r="Y29" s="168"/>
      <c r="Z29" s="168"/>
      <c r="AA29" s="158"/>
      <c r="AB29" s="185">
        <f>IFERROR(__xludf.DUMMYFUNCTION("arrayformula(countif(query('Deprecated Test bed'!D8:H66, ""select H where G='Primary'""), ""Tight Coupling""))"),0.0)</f>
        <v>0</v>
      </c>
      <c r="AC29" s="186">
        <f>IFERROR(__xludf.DUMMYFUNCTION("arrayformula(countif(query('Deprecated Test bed'!D8:H66, ""select F where G='Primary'""), ""Medium Coupling""))"),0.0)</f>
        <v>0</v>
      </c>
      <c r="AD29" s="186">
        <f>IFERROR(__xludf.DUMMYFUNCTION("arrayformula(countif(query('Deprecated Test bed'!D8:H66, ""select F where G='Primary'""), ""Loose Coupling""))"),0.0)</f>
        <v>0</v>
      </c>
      <c r="AE29" s="186">
        <f>IFERROR(__xludf.DUMMYFUNCTION("arrayformula(countif(query('Deprecated Test bed'!D8:H66, ""select F where G='Primary'""), ""N/A""))"),0.0)</f>
        <v>0</v>
      </c>
    </row>
    <row r="30">
      <c r="A30" s="190"/>
      <c r="B30" s="179" t="s">
        <v>266</v>
      </c>
      <c r="C30" s="191" t="s">
        <v>292</v>
      </c>
      <c r="D30" s="191" t="s">
        <v>292</v>
      </c>
      <c r="E30" s="191" t="s">
        <v>292</v>
      </c>
      <c r="F30" s="191" t="s">
        <v>292</v>
      </c>
      <c r="G30" s="192"/>
      <c r="J30" s="190"/>
      <c r="K30" s="179" t="s">
        <v>266</v>
      </c>
      <c r="L30" s="185">
        <f>IFERROR(__xludf.DUMMYFUNCTION("arrayformula(countif(query('Deprecated Test bed'!D8:H66, ""select D where H='Primary'""), ""Tight Coupling""))"),0.0)</f>
        <v>0</v>
      </c>
      <c r="M30" s="185">
        <f>IFERROR(__xludf.DUMMYFUNCTION("arrayformula(countif(query('Deprecated Test bed'!D8:H66, ""select D where H='Primary'""), ""Medium Coupling""))"),0.0)</f>
        <v>0</v>
      </c>
      <c r="N30" s="185">
        <f>IFERROR(__xludf.DUMMYFUNCTION("arrayformula(countif(query('Deprecated Test bed'!D8:H66, ""select D where H='Primary'""), ""Loose Coupling""))"),0.0)</f>
        <v>0</v>
      </c>
      <c r="O30" s="185">
        <f>IFERROR(__xludf.DUMMYFUNCTION("arrayformula(countif(query('Deprecated Test bed'!D8:H66, ""select D where H='Primary'""), ""N/A""))"),0.0)</f>
        <v>0</v>
      </c>
      <c r="P30" s="185">
        <f>IFERROR(__xludf.DUMMYFUNCTION("arrayformula(countif(query('Deprecated Test bed'!D8:H66, ""select E where H='Primary'""), ""Tight Coupling""))"),0.0)</f>
        <v>0</v>
      </c>
      <c r="Q30" s="185">
        <f>IFERROR(__xludf.DUMMYFUNCTION("arrayformula(countif(query('Deprecated Test bed'!D8:H66, ""select E where H='Primary'""), ""Tight Coupling""))"),0.0)</f>
        <v>0</v>
      </c>
      <c r="R30" s="185">
        <f>IFERROR(__xludf.DUMMYFUNCTION("arrayformula(countif(query('Deprecated Test bed'!D8:H66, ""select E where H='Primary'""), ""Tight Coupling""))"),0.0)</f>
        <v>0</v>
      </c>
      <c r="S30" s="185">
        <f>IFERROR(__xludf.DUMMYFUNCTION("arrayformula(countif(query('Deprecated Test bed'!D8:H66, ""select E where H='Primary'""), ""Tight Coupling""))"),0.0)</f>
        <v>0</v>
      </c>
      <c r="T30" s="185">
        <f>IFERROR(__xludf.DUMMYFUNCTION("arrayformula(countif(query('Deprecated Test bed'!D8:H66, ""select F where H='Primary'""), ""Tight Coupling""))"),0.0)</f>
        <v>0</v>
      </c>
      <c r="U30" s="185">
        <f>IFERROR(__xludf.DUMMYFUNCTION("arrayformula(countif(query('Deprecated Test bed'!D8:H66, ""select F where H='Primary'""), ""Medium Coupling""))"),0.0)</f>
        <v>0</v>
      </c>
      <c r="V30" s="185">
        <f>IFERROR(__xludf.DUMMYFUNCTION("arrayformula(countif(query('Deprecated Test bed'!D8:H66, ""select F where H='Primary'""), ""Loose Coupling""))"),0.0)</f>
        <v>0</v>
      </c>
      <c r="W30" s="185">
        <f>IFERROR(__xludf.DUMMYFUNCTION("arrayformula(countif(query('Deprecated Test bed'!D8:H66, ""select F where H='Primary'""), ""N/A""))"),0.0)</f>
        <v>0</v>
      </c>
      <c r="X30" s="185">
        <f>IFERROR(__xludf.DUMMYFUNCTION("arrayformula(countif(query('Deprecated Test bed'!D8:H66, ""select G where H='Primary'""), ""Tight Coupling""))"),0.0)</f>
        <v>0</v>
      </c>
      <c r="Y30" s="185">
        <f>IFERROR(__xludf.DUMMYFUNCTION("arrayformula(countif(query('Deprecated Test bed'!D8:H66, ""select F where H='Primary'""), ""Medium Coupling""))"),0.0)</f>
        <v>0</v>
      </c>
      <c r="Z30" s="185">
        <f>IFERROR(__xludf.DUMMYFUNCTION("arrayformula(countif(query('Deprecated Test bed'!D8:H66, ""select F where H='Primary'""), ""Loose Coupling""))"),0.0)</f>
        <v>0</v>
      </c>
      <c r="AA30" s="185">
        <f>IFERROR(__xludf.DUMMYFUNCTION("arrayformula(countif(query('Deprecated Test bed'!D8:H66, ""select F where H='Primary'""), ""N/A""))"),0.0)</f>
        <v>0</v>
      </c>
      <c r="AB30" s="189"/>
      <c r="AC30" s="168"/>
      <c r="AD30" s="168"/>
      <c r="AE30" s="158"/>
    </row>
    <row r="32">
      <c r="J32" s="163" t="s">
        <v>293</v>
      </c>
    </row>
    <row r="33">
      <c r="A33" s="163" t="s">
        <v>294</v>
      </c>
      <c r="J33" s="165" t="s">
        <v>295</v>
      </c>
      <c r="K33" s="166"/>
      <c r="L33" s="167" t="s">
        <v>290</v>
      </c>
      <c r="M33" s="168"/>
      <c r="N33" s="168"/>
      <c r="O33" s="168"/>
      <c r="P33" s="168"/>
      <c r="Q33" s="168"/>
      <c r="R33" s="168"/>
      <c r="S33" s="168"/>
      <c r="T33" s="168"/>
      <c r="U33" s="168"/>
      <c r="V33" s="168"/>
      <c r="W33" s="168"/>
      <c r="X33" s="168"/>
      <c r="Y33" s="168"/>
      <c r="Z33" s="168"/>
      <c r="AA33" s="168"/>
      <c r="AB33" s="168"/>
      <c r="AC33" s="168"/>
      <c r="AD33" s="168"/>
      <c r="AE33" s="158"/>
    </row>
    <row r="34">
      <c r="A34" s="165" t="s">
        <v>296</v>
      </c>
      <c r="B34" s="166"/>
      <c r="C34" s="169" t="s">
        <v>290</v>
      </c>
      <c r="D34" s="170"/>
      <c r="E34" s="170"/>
      <c r="F34" s="170"/>
      <c r="G34" s="166"/>
      <c r="J34" s="171"/>
      <c r="K34" s="172"/>
      <c r="L34" s="173" t="s">
        <v>89</v>
      </c>
      <c r="M34" s="168"/>
      <c r="N34" s="168"/>
      <c r="O34" s="158"/>
      <c r="P34" s="173" t="s">
        <v>219</v>
      </c>
      <c r="Q34" s="168"/>
      <c r="R34" s="168"/>
      <c r="S34" s="158"/>
      <c r="T34" s="173" t="s">
        <v>147</v>
      </c>
      <c r="U34" s="168"/>
      <c r="V34" s="168"/>
      <c r="W34" s="158"/>
      <c r="X34" s="173" t="s">
        <v>148</v>
      </c>
      <c r="Y34" s="168"/>
      <c r="Z34" s="168"/>
      <c r="AA34" s="158"/>
      <c r="AB34" s="173" t="s">
        <v>266</v>
      </c>
      <c r="AC34" s="168"/>
      <c r="AD34" s="168"/>
      <c r="AE34" s="158"/>
    </row>
    <row r="35">
      <c r="A35" s="174"/>
      <c r="B35" s="175"/>
      <c r="C35" s="176" t="s">
        <v>89</v>
      </c>
      <c r="D35" s="176" t="s">
        <v>219</v>
      </c>
      <c r="E35" s="176" t="s">
        <v>147</v>
      </c>
      <c r="F35" s="176" t="s">
        <v>148</v>
      </c>
      <c r="G35" s="176" t="s">
        <v>266</v>
      </c>
      <c r="J35" s="174"/>
      <c r="K35" s="175"/>
      <c r="L35" s="193" t="s">
        <v>274</v>
      </c>
      <c r="M35" s="193" t="s">
        <v>276</v>
      </c>
      <c r="N35" s="193" t="s">
        <v>278</v>
      </c>
      <c r="O35" s="193" t="s">
        <v>151</v>
      </c>
      <c r="P35" s="193" t="s">
        <v>274</v>
      </c>
      <c r="Q35" s="193" t="s">
        <v>276</v>
      </c>
      <c r="R35" s="193" t="s">
        <v>278</v>
      </c>
      <c r="S35" s="193" t="s">
        <v>151</v>
      </c>
      <c r="T35" s="193" t="s">
        <v>274</v>
      </c>
      <c r="U35" s="193" t="s">
        <v>276</v>
      </c>
      <c r="V35" s="193" t="s">
        <v>278</v>
      </c>
      <c r="W35" s="193" t="s">
        <v>151</v>
      </c>
      <c r="X35" s="193" t="s">
        <v>274</v>
      </c>
      <c r="Y35" s="193" t="s">
        <v>276</v>
      </c>
      <c r="Z35" s="193" t="s">
        <v>278</v>
      </c>
      <c r="AA35" s="193" t="s">
        <v>151</v>
      </c>
      <c r="AB35" s="193" t="s">
        <v>274</v>
      </c>
      <c r="AC35" s="193" t="s">
        <v>276</v>
      </c>
      <c r="AD35" s="193" t="s">
        <v>278</v>
      </c>
      <c r="AE35" s="193" t="s">
        <v>151</v>
      </c>
    </row>
    <row r="36">
      <c r="A36" s="178" t="s">
        <v>270</v>
      </c>
      <c r="B36" s="179" t="s">
        <v>89</v>
      </c>
      <c r="C36" s="180"/>
      <c r="D36" s="181">
        <f>SUM(P36:R36)</f>
        <v>12</v>
      </c>
      <c r="E36" s="181">
        <f t="shared" ref="E36:E37" si="1">SUM(T36:V36)</f>
        <v>9</v>
      </c>
      <c r="F36" s="181">
        <f t="shared" ref="F36:F38" si="2">SUM(X36:Z36)</f>
        <v>13</v>
      </c>
      <c r="G36" s="181">
        <f t="shared" ref="G36:G39" si="3">SUM(AB36:AD36)</f>
        <v>18</v>
      </c>
      <c r="J36" s="182" t="s">
        <v>270</v>
      </c>
      <c r="K36" s="179" t="s">
        <v>89</v>
      </c>
      <c r="L36" s="194"/>
      <c r="M36" s="195"/>
      <c r="N36" s="195"/>
      <c r="O36" s="196"/>
      <c r="P36" s="197">
        <v>6.0</v>
      </c>
      <c r="Q36" s="197">
        <v>5.0</v>
      </c>
      <c r="R36" s="197">
        <v>1.0</v>
      </c>
      <c r="S36" s="198">
        <v>8.0</v>
      </c>
      <c r="T36" s="197">
        <v>3.0</v>
      </c>
      <c r="U36" s="197">
        <v>5.0</v>
      </c>
      <c r="V36" s="197">
        <v>1.0</v>
      </c>
      <c r="W36" s="198">
        <v>2.0</v>
      </c>
      <c r="X36" s="197">
        <v>6.0</v>
      </c>
      <c r="Y36" s="197">
        <v>5.0</v>
      </c>
      <c r="Z36" s="197">
        <v>2.0</v>
      </c>
      <c r="AA36" s="198">
        <v>4.0</v>
      </c>
      <c r="AB36" s="197">
        <v>9.0</v>
      </c>
      <c r="AC36" s="197">
        <v>5.0</v>
      </c>
      <c r="AD36" s="197">
        <v>4.0</v>
      </c>
      <c r="AE36" s="198">
        <v>4.0</v>
      </c>
    </row>
    <row r="37">
      <c r="A37" s="187"/>
      <c r="B37" s="179" t="s">
        <v>219</v>
      </c>
      <c r="C37" s="181">
        <f t="shared" ref="C37:C40" si="4">SUM(L37:N37)</f>
        <v>11</v>
      </c>
      <c r="D37" s="180"/>
      <c r="E37" s="181">
        <f t="shared" si="1"/>
        <v>22</v>
      </c>
      <c r="F37" s="181">
        <f t="shared" si="2"/>
        <v>3</v>
      </c>
      <c r="G37" s="181">
        <f t="shared" si="3"/>
        <v>9</v>
      </c>
      <c r="J37" s="187"/>
      <c r="K37" s="179" t="s">
        <v>219</v>
      </c>
      <c r="L37" s="199">
        <v>2.0</v>
      </c>
      <c r="M37" s="200">
        <v>5.0</v>
      </c>
      <c r="N37" s="200">
        <v>4.0</v>
      </c>
      <c r="O37" s="201">
        <v>1.0</v>
      </c>
      <c r="P37" s="202"/>
      <c r="Q37" s="202"/>
      <c r="R37" s="202"/>
      <c r="S37" s="203"/>
      <c r="T37" s="200">
        <v>9.0</v>
      </c>
      <c r="U37" s="200">
        <v>8.0</v>
      </c>
      <c r="V37" s="200">
        <v>5.0</v>
      </c>
      <c r="W37" s="201">
        <v>4.0</v>
      </c>
      <c r="X37" s="200">
        <v>1.0</v>
      </c>
      <c r="Y37" s="200">
        <v>0.0</v>
      </c>
      <c r="Z37" s="200">
        <v>2.0</v>
      </c>
      <c r="AA37" s="201">
        <v>5.0</v>
      </c>
      <c r="AB37" s="200">
        <v>0.0</v>
      </c>
      <c r="AC37" s="200">
        <v>4.0</v>
      </c>
      <c r="AD37" s="200">
        <v>5.0</v>
      </c>
      <c r="AE37" s="201">
        <v>8.0</v>
      </c>
    </row>
    <row r="38">
      <c r="A38" s="187"/>
      <c r="B38" s="179" t="s">
        <v>147</v>
      </c>
      <c r="C38" s="181">
        <f t="shared" si="4"/>
        <v>8</v>
      </c>
      <c r="D38" s="181">
        <f t="shared" ref="D38:D40" si="5">SUM(P38:R38)</f>
        <v>11</v>
      </c>
      <c r="E38" s="180"/>
      <c r="F38" s="181">
        <f t="shared" si="2"/>
        <v>11</v>
      </c>
      <c r="G38" s="181">
        <f t="shared" si="3"/>
        <v>18</v>
      </c>
      <c r="J38" s="187"/>
      <c r="K38" s="179" t="s">
        <v>147</v>
      </c>
      <c r="L38" s="199">
        <v>1.0</v>
      </c>
      <c r="M38" s="200">
        <v>2.0</v>
      </c>
      <c r="N38" s="200">
        <v>5.0</v>
      </c>
      <c r="O38" s="201">
        <v>1.0</v>
      </c>
      <c r="P38" s="200">
        <v>5.0</v>
      </c>
      <c r="Q38" s="200">
        <v>4.0</v>
      </c>
      <c r="R38" s="200">
        <v>2.0</v>
      </c>
      <c r="S38" s="201">
        <v>4.0</v>
      </c>
      <c r="T38" s="202"/>
      <c r="U38" s="202"/>
      <c r="V38" s="202"/>
      <c r="W38" s="203"/>
      <c r="X38" s="200">
        <v>2.0</v>
      </c>
      <c r="Y38" s="200">
        <v>5.0</v>
      </c>
      <c r="Z38" s="200">
        <v>4.0</v>
      </c>
      <c r="AA38" s="201">
        <v>0.0</v>
      </c>
      <c r="AB38" s="200">
        <v>9.0</v>
      </c>
      <c r="AC38" s="200">
        <v>5.0</v>
      </c>
      <c r="AD38" s="200">
        <v>4.0</v>
      </c>
      <c r="AE38" s="201">
        <v>7.0</v>
      </c>
    </row>
    <row r="39">
      <c r="A39" s="187"/>
      <c r="B39" s="179" t="s">
        <v>148</v>
      </c>
      <c r="C39" s="181">
        <f t="shared" si="4"/>
        <v>18</v>
      </c>
      <c r="D39" s="181">
        <f t="shared" si="5"/>
        <v>18</v>
      </c>
      <c r="E39" s="181">
        <f t="shared" ref="E39:E40" si="6">SUM(T39:V39)</f>
        <v>7</v>
      </c>
      <c r="F39" s="180"/>
      <c r="G39" s="181">
        <f t="shared" si="3"/>
        <v>14</v>
      </c>
      <c r="J39" s="187"/>
      <c r="K39" s="179" t="s">
        <v>148</v>
      </c>
      <c r="L39" s="199">
        <v>9.0</v>
      </c>
      <c r="M39" s="200">
        <v>5.0</v>
      </c>
      <c r="N39" s="200">
        <v>4.0</v>
      </c>
      <c r="O39" s="201">
        <v>8.0</v>
      </c>
      <c r="P39" s="200">
        <v>1.0</v>
      </c>
      <c r="Q39" s="200">
        <v>9.0</v>
      </c>
      <c r="R39" s="200">
        <v>8.0</v>
      </c>
      <c r="S39" s="201">
        <v>2.0</v>
      </c>
      <c r="T39" s="200">
        <v>2.0</v>
      </c>
      <c r="U39" s="200">
        <v>4.0</v>
      </c>
      <c r="V39" s="200">
        <v>1.0</v>
      </c>
      <c r="W39" s="201">
        <v>0.0</v>
      </c>
      <c r="X39" s="202"/>
      <c r="Y39" s="202"/>
      <c r="Z39" s="202"/>
      <c r="AA39" s="203"/>
      <c r="AB39" s="200">
        <v>4.0</v>
      </c>
      <c r="AC39" s="200">
        <v>8.0</v>
      </c>
      <c r="AD39" s="200">
        <v>2.0</v>
      </c>
      <c r="AE39" s="201">
        <v>1.0</v>
      </c>
    </row>
    <row r="40">
      <c r="A40" s="190"/>
      <c r="B40" s="179" t="s">
        <v>266</v>
      </c>
      <c r="C40" s="191">
        <f t="shared" si="4"/>
        <v>13</v>
      </c>
      <c r="D40" s="191">
        <f t="shared" si="5"/>
        <v>21</v>
      </c>
      <c r="E40" s="191">
        <f t="shared" si="6"/>
        <v>18</v>
      </c>
      <c r="F40" s="191">
        <f>SUM(X40:Z40)</f>
        <v>11</v>
      </c>
      <c r="G40" s="192"/>
      <c r="J40" s="190"/>
      <c r="K40" s="179" t="s">
        <v>266</v>
      </c>
      <c r="L40" s="204">
        <v>2.0</v>
      </c>
      <c r="M40" s="205">
        <v>5.0</v>
      </c>
      <c r="N40" s="205">
        <v>6.0</v>
      </c>
      <c r="O40" s="206">
        <v>0.0</v>
      </c>
      <c r="P40" s="205">
        <v>1.0</v>
      </c>
      <c r="Q40" s="205">
        <v>12.0</v>
      </c>
      <c r="R40" s="205">
        <v>8.0</v>
      </c>
      <c r="S40" s="206">
        <v>8.0</v>
      </c>
      <c r="T40" s="205">
        <v>6.0</v>
      </c>
      <c r="U40" s="205">
        <v>5.0</v>
      </c>
      <c r="V40" s="205">
        <v>7.0</v>
      </c>
      <c r="W40" s="206">
        <v>0.0</v>
      </c>
      <c r="X40" s="205">
        <v>6.0</v>
      </c>
      <c r="Y40" s="205">
        <v>3.0</v>
      </c>
      <c r="Z40" s="205">
        <v>2.0</v>
      </c>
      <c r="AA40" s="206">
        <v>5.0</v>
      </c>
      <c r="AB40" s="207"/>
      <c r="AC40" s="208"/>
      <c r="AD40" s="208"/>
      <c r="AE40" s="209"/>
    </row>
    <row r="42">
      <c r="C42" s="210"/>
    </row>
    <row r="43">
      <c r="B43" s="210">
        <f>IFERROR(__xludf.DUMMYFUNCTION("arrayformula(countif(query('Deprecated Test bed'!D8:H66, ""select D WHERE D!='N/A' and D='Tight Coupling'""), ""Tight Coupling""))"),8.0)</f>
        <v>8</v>
      </c>
    </row>
  </sheetData>
  <mergeCells count="27">
    <mergeCell ref="X24:AA24"/>
    <mergeCell ref="AB24:AE24"/>
    <mergeCell ref="J23:K25"/>
    <mergeCell ref="J26:J30"/>
    <mergeCell ref="J33:K35"/>
    <mergeCell ref="L26:O26"/>
    <mergeCell ref="P27:S27"/>
    <mergeCell ref="T28:W28"/>
    <mergeCell ref="X29:AA29"/>
    <mergeCell ref="L23:AE23"/>
    <mergeCell ref="A24:B25"/>
    <mergeCell ref="C24:G24"/>
    <mergeCell ref="L24:O24"/>
    <mergeCell ref="P24:S24"/>
    <mergeCell ref="T24:W24"/>
    <mergeCell ref="A26:A30"/>
    <mergeCell ref="X34:AA34"/>
    <mergeCell ref="AB34:AE34"/>
    <mergeCell ref="L34:O34"/>
    <mergeCell ref="J36:J40"/>
    <mergeCell ref="AB30:AE30"/>
    <mergeCell ref="L33:AE33"/>
    <mergeCell ref="A34:B35"/>
    <mergeCell ref="C34:G34"/>
    <mergeCell ref="P34:S34"/>
    <mergeCell ref="T34:W34"/>
    <mergeCell ref="A36:A40"/>
  </mergeCells>
  <conditionalFormatting sqref="C36:G40">
    <cfRule type="colorScale" priority="1">
      <colorScale>
        <cfvo type="min"/>
        <cfvo type="max"/>
        <color rgb="FFFFFFFF"/>
        <color rgb="FF57BB8A"/>
      </colorScale>
    </cfRule>
  </conditionalFormatting>
  <conditionalFormatting sqref="L26:O26 P27:S27 T28:W28 X29:AA29 AB30:AE30 L36:L40 L27:L30 P26 P28:P30 T26:T27 T29:T30 X26:X28 X30 AB26:AB29">
    <cfRule type="colorScale" priority="2">
      <colorScale>
        <cfvo type="formula" val="0"/>
        <cfvo type="max"/>
        <color rgb="FFFFFFFF"/>
        <color rgb="FFFF9230"/>
      </colorScale>
    </cfRule>
  </conditionalFormatting>
  <conditionalFormatting sqref="P36:P40">
    <cfRule type="colorScale" priority="3">
      <colorScale>
        <cfvo type="formula" val="0"/>
        <cfvo type="max"/>
        <color rgb="FFFFFFFF"/>
        <color rgb="FFFF9230"/>
      </colorScale>
    </cfRule>
  </conditionalFormatting>
  <conditionalFormatting sqref="T36:T40">
    <cfRule type="colorScale" priority="4">
      <colorScale>
        <cfvo type="formula" val="0"/>
        <cfvo type="max"/>
        <color rgb="FFFFFFFF"/>
        <color rgb="FFFF9230"/>
      </colorScale>
    </cfRule>
  </conditionalFormatting>
  <conditionalFormatting sqref="X36:X40">
    <cfRule type="colorScale" priority="5">
      <colorScale>
        <cfvo type="formula" val="0"/>
        <cfvo type="max"/>
        <color rgb="FFFFFFFF"/>
        <color rgb="FFFF9230"/>
      </colorScale>
    </cfRule>
  </conditionalFormatting>
  <conditionalFormatting sqref="AB36:AB40">
    <cfRule type="colorScale" priority="6">
      <colorScale>
        <cfvo type="formula" val="0"/>
        <cfvo type="max"/>
        <color rgb="FFFFFFFF"/>
        <color rgb="FFFF9230"/>
      </colorScale>
    </cfRule>
  </conditionalFormatting>
  <conditionalFormatting sqref="M36:M40 M27:M30 Q26 Q28:Q30 U26:U27 U29:U30 Y26:Y28 Y30 U26:U27 U29:U30 Q26 Q28:Q30 M27:M30 AC26:AC29">
    <cfRule type="colorScale" priority="7">
      <colorScale>
        <cfvo type="formula" val="0"/>
        <cfvo type="max"/>
        <color rgb="FFFFFFFF"/>
        <color rgb="FF3C7DBF"/>
      </colorScale>
    </cfRule>
  </conditionalFormatting>
  <conditionalFormatting sqref="Q36:Q40">
    <cfRule type="colorScale" priority="8">
      <colorScale>
        <cfvo type="formula" val="0"/>
        <cfvo type="max"/>
        <color rgb="FFFFFFFF"/>
        <color rgb="FF3C7DBF"/>
      </colorScale>
    </cfRule>
  </conditionalFormatting>
  <conditionalFormatting sqref="U36:U40">
    <cfRule type="colorScale" priority="9">
      <colorScale>
        <cfvo type="formula" val="0"/>
        <cfvo type="max"/>
        <color rgb="FFFFFFFF"/>
        <color rgb="FF3C7DBF"/>
      </colorScale>
    </cfRule>
  </conditionalFormatting>
  <conditionalFormatting sqref="Y36:Y40">
    <cfRule type="colorScale" priority="10">
      <colorScale>
        <cfvo type="formula" val="0"/>
        <cfvo type="max"/>
        <color rgb="FFFFFFFF"/>
        <color rgb="FF3C7DBF"/>
      </colorScale>
    </cfRule>
  </conditionalFormatting>
  <conditionalFormatting sqref="AC36:AC40">
    <cfRule type="colorScale" priority="11">
      <colorScale>
        <cfvo type="formula" val="0"/>
        <cfvo type="max"/>
        <color rgb="FFFFFFFF"/>
        <color rgb="FF3C7DBF"/>
      </colorScale>
    </cfRule>
  </conditionalFormatting>
  <conditionalFormatting sqref="N27:N30 R26 R28:R30 V26:V27 V29:V30 Z26:Z28 Z30 AD26:AD29">
    <cfRule type="colorScale" priority="12">
      <colorScale>
        <cfvo type="formula" val="0"/>
        <cfvo type="max"/>
        <color rgb="FFFFFFFF"/>
        <color rgb="FFFFC700"/>
      </colorScale>
    </cfRule>
  </conditionalFormatting>
  <conditionalFormatting sqref="R36:R40">
    <cfRule type="colorScale" priority="13">
      <colorScale>
        <cfvo type="formula" val="0"/>
        <cfvo type="max"/>
        <color rgb="FFFFFFFF"/>
        <color rgb="FFFFC700"/>
      </colorScale>
    </cfRule>
  </conditionalFormatting>
  <conditionalFormatting sqref="V36:V40">
    <cfRule type="colorScale" priority="14">
      <colorScale>
        <cfvo type="formula" val="0"/>
        <cfvo type="max"/>
        <color rgb="FFFFFFFF"/>
        <color rgb="FFFFC700"/>
      </colorScale>
    </cfRule>
  </conditionalFormatting>
  <conditionalFormatting sqref="Z36:Z40">
    <cfRule type="colorScale" priority="15">
      <colorScale>
        <cfvo type="formula" val="0"/>
        <cfvo type="max"/>
        <color rgb="FFFFFFFF"/>
        <color rgb="FFFFC700"/>
      </colorScale>
    </cfRule>
  </conditionalFormatting>
  <conditionalFormatting sqref="AD36:AD40">
    <cfRule type="colorScale" priority="16">
      <colorScale>
        <cfvo type="formula" val="0"/>
        <cfvo type="max"/>
        <color rgb="FFFFFFFF"/>
        <color rgb="FFFFC700"/>
      </colorScale>
    </cfRule>
  </conditionalFormatting>
  <conditionalFormatting sqref="O27:O30 S26 S28:S30 W26:W27 W29:W30 AA26:AA28 AA30 AE26:AE29">
    <cfRule type="colorScale" priority="17">
      <colorScale>
        <cfvo type="formula" val="0"/>
        <cfvo type="max"/>
        <color rgb="FFFFFFFF"/>
        <color rgb="FF7647EA"/>
      </colorScale>
    </cfRule>
  </conditionalFormatting>
  <conditionalFormatting sqref="S36:S40">
    <cfRule type="colorScale" priority="18">
      <colorScale>
        <cfvo type="formula" val="0"/>
        <cfvo type="max"/>
        <color rgb="FFFFFFFF"/>
        <color rgb="FF7647EA"/>
      </colorScale>
    </cfRule>
  </conditionalFormatting>
  <conditionalFormatting sqref="W36:W40">
    <cfRule type="colorScale" priority="19">
      <colorScale>
        <cfvo type="formula" val="0"/>
        <cfvo type="max"/>
        <color rgb="FFFFFFFF"/>
        <color rgb="FF7647EA"/>
      </colorScale>
    </cfRule>
  </conditionalFormatting>
  <conditionalFormatting sqref="AA36:AA40">
    <cfRule type="colorScale" priority="20">
      <colorScale>
        <cfvo type="formula" val="0"/>
        <cfvo type="max"/>
        <color rgb="FFFFFFFF"/>
        <color rgb="FF7647EA"/>
      </colorScale>
    </cfRule>
  </conditionalFormatting>
  <conditionalFormatting sqref="AE36:AE40">
    <cfRule type="colorScale" priority="21">
      <colorScale>
        <cfvo type="formula" val="0"/>
        <cfvo type="max"/>
        <color rgb="FFFFFFFF"/>
        <color rgb="FF7647EA"/>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42.71"/>
    <col customWidth="1" min="2" max="2" width="47.86"/>
    <col customWidth="1" min="3" max="3" width="25.57"/>
    <col customWidth="1" min="4" max="4" width="27.0"/>
    <col customWidth="1" min="5" max="5" width="33.29"/>
    <col customWidth="1" min="6" max="6" width="25.86"/>
    <col customWidth="1" min="7" max="7" width="25.29"/>
    <col customWidth="1" min="8" max="8" width="17.43"/>
    <col customWidth="1" min="9" max="9" width="20.86"/>
    <col customWidth="1" min="10" max="10" width="27.0"/>
    <col customWidth="1" min="11" max="11" width="14.57"/>
    <col customWidth="1" min="12" max="12" width="23.57"/>
  </cols>
  <sheetData>
    <row r="1" ht="35.25" customHeight="1">
      <c r="A1" s="211"/>
      <c r="B1" s="211"/>
      <c r="C1" s="211"/>
      <c r="D1" s="211"/>
      <c r="E1" s="211"/>
      <c r="F1" s="211"/>
      <c r="G1" s="211"/>
      <c r="H1" s="211"/>
      <c r="I1" s="211"/>
      <c r="J1" s="211"/>
      <c r="K1" s="211"/>
      <c r="L1" s="211"/>
    </row>
    <row r="2" ht="35.25" customHeight="1">
      <c r="A2" s="212" t="s">
        <v>297</v>
      </c>
      <c r="B2" s="212"/>
      <c r="C2" s="212"/>
      <c r="D2" s="212"/>
      <c r="E2" s="212"/>
      <c r="F2" s="212"/>
      <c r="G2" s="212"/>
      <c r="H2" s="212"/>
      <c r="I2" s="212"/>
      <c r="J2" s="212"/>
      <c r="K2" s="212"/>
      <c r="L2" s="213"/>
    </row>
    <row r="3" ht="6.0" customHeight="1">
      <c r="A3" s="214"/>
    </row>
    <row r="4">
      <c r="A4" s="215" t="s">
        <v>298</v>
      </c>
      <c r="B4" s="216" t="s">
        <v>299</v>
      </c>
      <c r="C4" s="217" t="s">
        <v>169</v>
      </c>
      <c r="D4" s="218" t="s">
        <v>171</v>
      </c>
      <c r="E4" s="218" t="s">
        <v>174</v>
      </c>
      <c r="F4" s="218" t="s">
        <v>175</v>
      </c>
      <c r="G4" s="218" t="s">
        <v>177</v>
      </c>
      <c r="H4" s="218" t="s">
        <v>178</v>
      </c>
      <c r="I4" s="218" t="s">
        <v>179</v>
      </c>
      <c r="J4" s="218" t="s">
        <v>180</v>
      </c>
      <c r="K4" s="218" t="s">
        <v>181</v>
      </c>
      <c r="L4" s="219" t="s">
        <v>182</v>
      </c>
    </row>
    <row r="5">
      <c r="A5" s="220" t="s">
        <v>300</v>
      </c>
      <c r="B5" s="220" t="s">
        <v>301</v>
      </c>
      <c r="C5" s="220" t="s">
        <v>302</v>
      </c>
      <c r="D5" s="220" t="s">
        <v>205</v>
      </c>
      <c r="E5" s="220" t="s">
        <v>303</v>
      </c>
      <c r="F5" s="220" t="s">
        <v>304</v>
      </c>
      <c r="G5" s="220" t="s">
        <v>210</v>
      </c>
      <c r="H5" s="220" t="s">
        <v>211</v>
      </c>
      <c r="I5" s="220" t="s">
        <v>212</v>
      </c>
      <c r="J5" s="220" t="s">
        <v>213</v>
      </c>
      <c r="K5" s="220" t="s">
        <v>214</v>
      </c>
      <c r="L5" s="220" t="s">
        <v>215</v>
      </c>
    </row>
    <row r="6">
      <c r="A6" s="221" t="s">
        <v>305</v>
      </c>
      <c r="B6" s="221" t="s">
        <v>306</v>
      </c>
      <c r="C6" s="222" t="s">
        <v>221</v>
      </c>
      <c r="D6" s="223" t="s">
        <v>222</v>
      </c>
      <c r="E6" s="224" t="str">
        <f t="shared" ref="E6:E8" si="1">HYPERLINK("#","See report")</f>
        <v>See report</v>
      </c>
      <c r="F6" s="221"/>
      <c r="G6" s="221"/>
      <c r="H6" s="221"/>
      <c r="I6" s="221"/>
      <c r="J6" s="221"/>
      <c r="K6" s="221"/>
      <c r="L6" s="221"/>
    </row>
    <row r="7">
      <c r="B7" s="221" t="s">
        <v>307</v>
      </c>
      <c r="D7" s="225" t="s">
        <v>308</v>
      </c>
      <c r="E7" s="224" t="str">
        <f t="shared" si="1"/>
        <v>See report</v>
      </c>
      <c r="F7" s="221" t="s">
        <v>309</v>
      </c>
      <c r="G7" s="221" t="s">
        <v>310</v>
      </c>
      <c r="H7" s="221"/>
      <c r="I7" s="221"/>
      <c r="J7" s="226" t="str">
        <f>HYPERLINK("#","Bug: 32039283")</f>
        <v>Bug: 32039283</v>
      </c>
      <c r="K7" s="227"/>
      <c r="L7" s="227"/>
    </row>
    <row r="8" ht="27.0" customHeight="1">
      <c r="B8" s="221" t="s">
        <v>311</v>
      </c>
      <c r="D8" s="228" t="s">
        <v>312</v>
      </c>
      <c r="E8" s="224" t="str">
        <f t="shared" si="1"/>
        <v>See report</v>
      </c>
      <c r="F8" s="221" t="s">
        <v>313</v>
      </c>
      <c r="G8" s="221" t="s">
        <v>314</v>
      </c>
      <c r="H8" s="226" t="str">
        <f>HYPERLINK("#","PRD for Assignment Posts")</f>
        <v>PRD for Assignment Posts</v>
      </c>
      <c r="I8" s="226" t="str">
        <f>HYPERLINK("#","Mocks")</f>
        <v>Mocks</v>
      </c>
      <c r="J8" s="227"/>
      <c r="K8" s="227"/>
      <c r="L8" s="227"/>
    </row>
    <row r="9">
      <c r="A9" s="221" t="s">
        <v>315</v>
      </c>
      <c r="B9" s="221" t="s">
        <v>316</v>
      </c>
      <c r="C9" s="222" t="s">
        <v>228</v>
      </c>
      <c r="D9" s="223" t="s">
        <v>222</v>
      </c>
      <c r="E9" s="229"/>
      <c r="F9" s="221"/>
      <c r="G9" s="221"/>
      <c r="H9" s="221"/>
      <c r="I9" s="221"/>
      <c r="J9" s="221"/>
      <c r="K9" s="221"/>
      <c r="L9" s="221"/>
    </row>
    <row r="10">
      <c r="B10" s="221" t="s">
        <v>317</v>
      </c>
      <c r="D10" s="225" t="s">
        <v>308</v>
      </c>
      <c r="E10" s="229"/>
      <c r="F10" s="221" t="s">
        <v>318</v>
      </c>
      <c r="G10" s="221"/>
      <c r="H10" s="221"/>
      <c r="I10" s="221"/>
      <c r="J10" s="221"/>
      <c r="K10" s="221"/>
      <c r="L10" s="221"/>
    </row>
    <row r="11">
      <c r="B11" s="221" t="s">
        <v>319</v>
      </c>
      <c r="D11" s="228" t="s">
        <v>312</v>
      </c>
      <c r="E11" s="224" t="str">
        <f t="shared" ref="E11:E13" si="2">HYPERLINK("#","See report")</f>
        <v>See report</v>
      </c>
      <c r="F11" s="221" t="s">
        <v>309</v>
      </c>
      <c r="G11" s="221" t="s">
        <v>320</v>
      </c>
      <c r="H11" s="221"/>
      <c r="I11" s="221"/>
      <c r="J11" s="221"/>
      <c r="K11" s="221"/>
      <c r="L11" s="221"/>
    </row>
    <row r="12">
      <c r="A12" s="221" t="s">
        <v>321</v>
      </c>
      <c r="B12" s="221" t="s">
        <v>322</v>
      </c>
      <c r="C12" s="222" t="s">
        <v>234</v>
      </c>
      <c r="D12" s="223" t="s">
        <v>222</v>
      </c>
      <c r="E12" s="224" t="str">
        <f t="shared" si="2"/>
        <v>See report</v>
      </c>
      <c r="F12" s="221"/>
      <c r="G12" s="221"/>
      <c r="H12" s="221"/>
      <c r="I12" s="221"/>
      <c r="J12" s="221"/>
      <c r="K12" s="221"/>
      <c r="L12" s="221"/>
    </row>
    <row r="13">
      <c r="B13" s="221" t="s">
        <v>323</v>
      </c>
      <c r="D13" s="223" t="s">
        <v>222</v>
      </c>
      <c r="E13" s="224" t="str">
        <f t="shared" si="2"/>
        <v>See report</v>
      </c>
      <c r="F13" s="221"/>
      <c r="G13" s="221"/>
      <c r="H13" s="221"/>
      <c r="I13" s="221"/>
      <c r="J13" s="221"/>
      <c r="K13" s="221"/>
      <c r="L13" s="221"/>
    </row>
    <row r="14">
      <c r="B14" s="221" t="s">
        <v>324</v>
      </c>
      <c r="D14" s="223" t="s">
        <v>222</v>
      </c>
      <c r="E14" s="229"/>
      <c r="F14" s="221"/>
      <c r="G14" s="221"/>
      <c r="H14" s="221"/>
      <c r="I14" s="221"/>
      <c r="J14" s="221"/>
      <c r="K14" s="221"/>
      <c r="L14" s="221"/>
    </row>
    <row r="15">
      <c r="B15" s="221" t="s">
        <v>325</v>
      </c>
      <c r="D15" s="223" t="s">
        <v>222</v>
      </c>
      <c r="E15" s="229"/>
      <c r="F15" s="221"/>
      <c r="G15" s="221"/>
      <c r="H15" s="221"/>
      <c r="I15" s="221"/>
      <c r="J15" s="221"/>
      <c r="K15" s="221"/>
      <c r="L15" s="221"/>
    </row>
    <row r="16">
      <c r="A16" s="221" t="s">
        <v>326</v>
      </c>
      <c r="B16" s="221" t="s">
        <v>327</v>
      </c>
      <c r="C16" s="222" t="s">
        <v>228</v>
      </c>
      <c r="D16" s="228" t="s">
        <v>312</v>
      </c>
      <c r="E16" s="229"/>
      <c r="F16" s="221" t="s">
        <v>328</v>
      </c>
      <c r="G16" s="221"/>
      <c r="H16" s="221"/>
      <c r="I16" s="221"/>
      <c r="J16" s="221"/>
      <c r="K16" s="221"/>
      <c r="L16" s="221"/>
    </row>
    <row r="17">
      <c r="B17" s="221" t="s">
        <v>329</v>
      </c>
      <c r="D17" s="228" t="s">
        <v>312</v>
      </c>
      <c r="E17" s="229"/>
      <c r="F17" s="221" t="s">
        <v>318</v>
      </c>
      <c r="G17" s="221"/>
      <c r="H17" s="221"/>
      <c r="I17" s="221"/>
      <c r="J17" s="221"/>
      <c r="K17" s="221"/>
      <c r="L17" s="221"/>
    </row>
    <row r="18">
      <c r="B18" s="221" t="s">
        <v>330</v>
      </c>
      <c r="D18" s="223" t="s">
        <v>222</v>
      </c>
      <c r="E18" s="229"/>
      <c r="F18" s="221"/>
      <c r="G18" s="221"/>
      <c r="H18" s="221"/>
      <c r="I18" s="221"/>
      <c r="J18" s="221"/>
      <c r="K18" s="221"/>
      <c r="L18" s="221"/>
    </row>
    <row r="19">
      <c r="A19" s="221" t="s">
        <v>331</v>
      </c>
      <c r="B19" s="221" t="s">
        <v>332</v>
      </c>
      <c r="C19" s="222" t="s">
        <v>221</v>
      </c>
      <c r="D19" s="223" t="s">
        <v>222</v>
      </c>
      <c r="E19" s="224" t="str">
        <f>HYPERLINK("#","See report")</f>
        <v>See report</v>
      </c>
      <c r="F19" s="221"/>
      <c r="G19" s="221"/>
      <c r="H19" s="221"/>
      <c r="I19" s="221"/>
      <c r="J19" s="221"/>
      <c r="K19" s="221"/>
      <c r="L19" s="221"/>
    </row>
    <row r="20">
      <c r="B20" s="221" t="s">
        <v>333</v>
      </c>
      <c r="D20" s="223" t="s">
        <v>222</v>
      </c>
      <c r="E20" s="229"/>
      <c r="F20" s="221"/>
      <c r="G20" s="221"/>
      <c r="H20" s="221"/>
      <c r="I20" s="221"/>
      <c r="J20" s="221"/>
      <c r="K20" s="221"/>
      <c r="L20" s="221"/>
    </row>
    <row r="21">
      <c r="B21" s="221" t="s">
        <v>334</v>
      </c>
      <c r="D21" s="223" t="s">
        <v>222</v>
      </c>
      <c r="E21" s="224" t="str">
        <f t="shared" ref="E21:E22" si="3">HYPERLINK("#","See report")</f>
        <v>See report</v>
      </c>
      <c r="F21" s="221"/>
      <c r="G21" s="221"/>
      <c r="H21" s="221"/>
      <c r="I21" s="221"/>
      <c r="J21" s="221"/>
      <c r="K21" s="221"/>
      <c r="L21" s="221"/>
    </row>
    <row r="22">
      <c r="A22" s="221" t="s">
        <v>335</v>
      </c>
      <c r="B22" s="221" t="s">
        <v>336</v>
      </c>
      <c r="C22" s="222" t="s">
        <v>228</v>
      </c>
      <c r="D22" s="225" t="s">
        <v>308</v>
      </c>
      <c r="E22" s="224" t="str">
        <f t="shared" si="3"/>
        <v>See report</v>
      </c>
      <c r="F22" s="221" t="s">
        <v>309</v>
      </c>
      <c r="G22" s="221"/>
      <c r="H22" s="221"/>
      <c r="I22" s="221"/>
      <c r="J22" s="221"/>
      <c r="K22" s="221"/>
      <c r="L22" s="221"/>
    </row>
    <row r="23">
      <c r="B23" s="221" t="s">
        <v>337</v>
      </c>
      <c r="D23" s="228" t="s">
        <v>312</v>
      </c>
      <c r="E23" s="229"/>
      <c r="F23" s="221" t="s">
        <v>309</v>
      </c>
      <c r="G23" s="221"/>
      <c r="H23" s="221"/>
      <c r="I23" s="221"/>
      <c r="J23" s="221"/>
      <c r="K23" s="221"/>
      <c r="L23" s="221"/>
    </row>
    <row r="24">
      <c r="B24" s="221" t="s">
        <v>338</v>
      </c>
      <c r="D24" s="228" t="s">
        <v>312</v>
      </c>
      <c r="E24" s="229"/>
      <c r="F24" s="221" t="s">
        <v>318</v>
      </c>
      <c r="G24" s="221"/>
      <c r="H24" s="221"/>
      <c r="J24" s="221"/>
      <c r="K24" s="221"/>
      <c r="L24" s="221"/>
    </row>
    <row r="25">
      <c r="B25" s="221" t="s">
        <v>339</v>
      </c>
      <c r="D25" s="223" t="s">
        <v>222</v>
      </c>
      <c r="E25" s="229"/>
      <c r="F25" s="221"/>
      <c r="G25" s="221"/>
      <c r="H25" s="221"/>
      <c r="I25" s="221"/>
      <c r="J25" s="221"/>
      <c r="K25" s="221"/>
      <c r="L25" s="221"/>
    </row>
    <row r="26">
      <c r="A26" s="221" t="s">
        <v>340</v>
      </c>
      <c r="B26" s="221" t="s">
        <v>341</v>
      </c>
      <c r="C26" s="222" t="s">
        <v>241</v>
      </c>
      <c r="D26" s="223" t="s">
        <v>222</v>
      </c>
      <c r="E26" s="229"/>
      <c r="F26" s="221"/>
      <c r="G26" s="221"/>
      <c r="H26" s="221"/>
      <c r="I26" s="221"/>
      <c r="J26" s="221"/>
      <c r="K26" s="221"/>
      <c r="L26" s="221"/>
    </row>
    <row r="27">
      <c r="B27" s="221" t="s">
        <v>342</v>
      </c>
      <c r="D27" s="223" t="s">
        <v>222</v>
      </c>
      <c r="E27" s="229"/>
      <c r="F27" s="221"/>
      <c r="G27" s="221"/>
      <c r="H27" s="221"/>
      <c r="I27" s="221"/>
      <c r="J27" s="221"/>
      <c r="K27" s="221"/>
      <c r="L27" s="221"/>
    </row>
    <row r="28">
      <c r="B28" s="221" t="s">
        <v>343</v>
      </c>
      <c r="D28" s="223" t="s">
        <v>222</v>
      </c>
      <c r="E28" s="229"/>
      <c r="F28" s="221"/>
      <c r="G28" s="221"/>
      <c r="H28" s="221"/>
      <c r="I28" s="221"/>
      <c r="J28" s="221"/>
      <c r="K28" s="221"/>
      <c r="L28" s="221"/>
    </row>
    <row r="29">
      <c r="B29" s="221" t="s">
        <v>344</v>
      </c>
      <c r="D29" s="223" t="s">
        <v>222</v>
      </c>
      <c r="E29" s="224" t="str">
        <f t="shared" ref="E29:E30" si="4">HYPERLINK("#","See report")</f>
        <v>See report</v>
      </c>
      <c r="F29" s="221"/>
      <c r="G29" s="221"/>
      <c r="H29" s="221"/>
      <c r="I29" s="221"/>
      <c r="J29" s="221"/>
      <c r="K29" s="221"/>
      <c r="L29" s="221"/>
    </row>
    <row r="30">
      <c r="A30" s="221" t="s">
        <v>345</v>
      </c>
      <c r="B30" s="221" t="s">
        <v>346</v>
      </c>
      <c r="C30" s="222" t="s">
        <v>228</v>
      </c>
      <c r="D30" s="225" t="s">
        <v>308</v>
      </c>
      <c r="E30" s="224" t="str">
        <f t="shared" si="4"/>
        <v>See report</v>
      </c>
      <c r="F30" s="221" t="s">
        <v>309</v>
      </c>
      <c r="G30" s="221"/>
      <c r="H30" s="221"/>
      <c r="I30" s="221"/>
      <c r="J30" s="221"/>
      <c r="K30" s="221"/>
      <c r="L30" s="221"/>
    </row>
    <row r="31">
      <c r="B31" s="221" t="s">
        <v>347</v>
      </c>
      <c r="D31" s="228" t="s">
        <v>312</v>
      </c>
      <c r="E31" s="229"/>
      <c r="F31" s="221" t="s">
        <v>309</v>
      </c>
      <c r="G31" s="221"/>
      <c r="H31" s="221"/>
      <c r="I31" s="221"/>
      <c r="J31" s="221"/>
      <c r="K31" s="221"/>
      <c r="L31" s="221"/>
    </row>
    <row r="32">
      <c r="A32" s="221" t="s">
        <v>348</v>
      </c>
      <c r="B32" s="221" t="s">
        <v>349</v>
      </c>
      <c r="C32" s="222" t="s">
        <v>241</v>
      </c>
      <c r="D32" s="223" t="s">
        <v>222</v>
      </c>
      <c r="E32" s="224" t="str">
        <f>HYPERLINK("#","See report")</f>
        <v>See report</v>
      </c>
      <c r="F32" s="221"/>
      <c r="G32" s="221"/>
      <c r="H32" s="221"/>
      <c r="I32" s="221"/>
      <c r="J32" s="221"/>
      <c r="K32" s="221"/>
      <c r="L32" s="221"/>
    </row>
    <row r="33">
      <c r="B33" s="221" t="s">
        <v>350</v>
      </c>
      <c r="D33" s="223" t="s">
        <v>222</v>
      </c>
      <c r="E33" s="229"/>
      <c r="F33" s="221"/>
      <c r="G33" s="221"/>
      <c r="H33" s="221"/>
      <c r="I33" s="221"/>
      <c r="J33" s="221"/>
      <c r="K33" s="221"/>
      <c r="L33" s="221"/>
    </row>
    <row r="34">
      <c r="A34" s="221" t="s">
        <v>351</v>
      </c>
      <c r="B34" s="221" t="s">
        <v>352</v>
      </c>
      <c r="C34" s="222" t="s">
        <v>234</v>
      </c>
      <c r="D34" s="223" t="s">
        <v>222</v>
      </c>
      <c r="E34" s="224" t="str">
        <f t="shared" ref="E34:E35" si="5">HYPERLINK("#","See report")</f>
        <v>See report</v>
      </c>
      <c r="F34" s="221"/>
      <c r="G34" s="221"/>
      <c r="H34" s="221"/>
      <c r="I34" s="221"/>
      <c r="J34" s="221"/>
      <c r="K34" s="221"/>
      <c r="L34" s="221"/>
    </row>
    <row r="35">
      <c r="B35" s="221" t="s">
        <v>353</v>
      </c>
      <c r="D35" s="223" t="s">
        <v>222</v>
      </c>
      <c r="E35" s="224" t="str">
        <f t="shared" si="5"/>
        <v>See report</v>
      </c>
      <c r="F35" s="221"/>
      <c r="G35" s="221"/>
      <c r="H35" s="221"/>
      <c r="I35" s="221"/>
      <c r="J35" s="221"/>
      <c r="K35" s="221"/>
      <c r="L35" s="221"/>
    </row>
    <row r="36">
      <c r="B36" s="221" t="s">
        <v>354</v>
      </c>
      <c r="D36" s="223" t="s">
        <v>222</v>
      </c>
      <c r="E36" s="229"/>
      <c r="F36" s="221"/>
      <c r="G36" s="221"/>
      <c r="H36" s="221"/>
      <c r="I36" s="221"/>
      <c r="J36" s="221"/>
      <c r="K36" s="221"/>
      <c r="L36" s="221"/>
    </row>
    <row r="37">
      <c r="B37" s="221" t="s">
        <v>355</v>
      </c>
      <c r="D37" s="223" t="s">
        <v>222</v>
      </c>
      <c r="E37" s="229"/>
      <c r="F37" s="221"/>
      <c r="G37" s="221"/>
      <c r="H37" s="221"/>
      <c r="I37" s="221"/>
      <c r="J37" s="221"/>
      <c r="K37" s="221"/>
      <c r="L37" s="221"/>
    </row>
  </sheetData>
  <mergeCells count="21">
    <mergeCell ref="A3:L3"/>
    <mergeCell ref="A6:A8"/>
    <mergeCell ref="C6:C8"/>
    <mergeCell ref="A9:A11"/>
    <mergeCell ref="C9:C11"/>
    <mergeCell ref="A12:A15"/>
    <mergeCell ref="A16:A18"/>
    <mergeCell ref="A26:A29"/>
    <mergeCell ref="A30:A31"/>
    <mergeCell ref="A32:A33"/>
    <mergeCell ref="A34:A37"/>
    <mergeCell ref="C30:C31"/>
    <mergeCell ref="C32:C33"/>
    <mergeCell ref="C34:C37"/>
    <mergeCell ref="C12:C15"/>
    <mergeCell ref="C16:C18"/>
    <mergeCell ref="A19:A21"/>
    <mergeCell ref="C19:C21"/>
    <mergeCell ref="A22:A25"/>
    <mergeCell ref="C22:C25"/>
    <mergeCell ref="C26:C29"/>
  </mergeCells>
  <conditionalFormatting sqref="D6:D37">
    <cfRule type="cellIs" dxfId="13" priority="1" operator="equal">
      <formula>"Healthy"</formula>
    </cfRule>
  </conditionalFormatting>
  <conditionalFormatting sqref="D6:D37">
    <cfRule type="cellIs" dxfId="11" priority="2" operator="equal">
      <formula>"At Risk"</formula>
    </cfRule>
  </conditionalFormatting>
  <conditionalFormatting sqref="D6:D37">
    <cfRule type="cellIs" dxfId="10" priority="3" operator="equal">
      <formula>"Unhealthy"</formula>
    </cfRule>
  </conditionalFormatting>
  <dataValidations>
    <dataValidation type="list" allowBlank="1" sqref="D6:D37">
      <formula1>"Healthy,At Risk,Unhealthy,Not Available"</formula1>
    </dataValidation>
    <dataValidation type="list" allowBlank="1" sqref="F6:F37">
      <formula1>"Redesign current experience,Fix identified issues (bugs),Explore new designs,No plan"</formula1>
    </dataValidation>
    <dataValidation type="list" allowBlank="1" sqref="C6 C9 C12 C16 C19 C22 C26 C30 C32 C34">
      <formula1>"Extremely helpful,Very helpful,Moderately helpful,Slightly helpful,Not at all helpful"</formula1>
    </dataValidation>
    <dataValidation type="list" allowBlank="1" sqref="G6:G37">
      <formula1>"Writing PRD,Creating a new concept/design,Testing concept/design,Fixing key issues,Key Issues fixed,No plans"</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16.86"/>
    <col customWidth="1" min="2" max="3" width="19.43"/>
    <col customWidth="1" min="4" max="4" width="18.57"/>
    <col customWidth="1" min="5" max="5" width="20.29"/>
    <col customWidth="1" min="11" max="11" width="14.0"/>
  </cols>
  <sheetData>
    <row r="1" ht="31.5" customHeight="1">
      <c r="A1" s="230"/>
    </row>
    <row r="2">
      <c r="A2" s="231" t="s">
        <v>356</v>
      </c>
    </row>
    <row r="3" ht="6.0" customHeight="1">
      <c r="A3" s="214"/>
    </row>
    <row r="4" ht="26.25" customHeight="1">
      <c r="A4" s="232"/>
      <c r="B4" s="232"/>
      <c r="C4" s="232"/>
      <c r="D4" s="232"/>
      <c r="E4" s="233"/>
      <c r="F4" s="234"/>
    </row>
    <row r="5" ht="37.5" customHeight="1">
      <c r="A5" s="235" t="s">
        <v>357</v>
      </c>
      <c r="B5" s="236" t="s">
        <v>358</v>
      </c>
      <c r="C5" s="237" t="s">
        <v>359</v>
      </c>
      <c r="D5" s="238" t="s">
        <v>360</v>
      </c>
      <c r="E5" s="239" t="s">
        <v>361</v>
      </c>
    </row>
    <row r="6">
      <c r="A6" s="240">
        <f>counta('Example CUJ Tracker (Google Cla'!B4:B35)</f>
        <v>32</v>
      </c>
      <c r="B6" s="240">
        <f>countif('Example CUJ Tracker (Google Cla'!D4:D35, "Healthy")</f>
        <v>19</v>
      </c>
      <c r="C6" s="240">
        <f>countif('Example CUJ Tracker (Google Cla'!D4:D35, "At Risk")</f>
        <v>4</v>
      </c>
      <c r="D6" s="241">
        <v>12.0</v>
      </c>
      <c r="E6" s="240">
        <f>countif('Example CUJ Tracker (Google Cla'!F4:F35, "No Plan")</f>
        <v>3</v>
      </c>
    </row>
    <row r="7" ht="153.75" customHeight="1">
      <c r="A7" s="242"/>
      <c r="E7" s="243"/>
    </row>
    <row r="8" ht="6.0" customHeight="1">
      <c r="A8" s="244"/>
    </row>
    <row r="9">
      <c r="A9" s="245" t="s">
        <v>362</v>
      </c>
    </row>
    <row r="10" ht="18.0" customHeight="1">
      <c r="A10" s="246" t="s">
        <v>363</v>
      </c>
      <c r="B10" s="247" t="s">
        <v>364</v>
      </c>
    </row>
    <row r="11" ht="19.5" customHeight="1">
      <c r="A11" s="246" t="s">
        <v>365</v>
      </c>
      <c r="B11" s="247" t="s">
        <v>366</v>
      </c>
    </row>
    <row r="12" ht="18.0" customHeight="1">
      <c r="A12" s="246" t="s">
        <v>367</v>
      </c>
      <c r="B12" s="247" t="s">
        <v>317</v>
      </c>
    </row>
    <row r="13" ht="18.0" customHeight="1">
      <c r="A13" s="246" t="s">
        <v>368</v>
      </c>
      <c r="B13" s="247" t="s">
        <v>319</v>
      </c>
    </row>
    <row r="14" ht="18.0" customHeight="1">
      <c r="A14" s="246" t="s">
        <v>369</v>
      </c>
      <c r="B14" s="247" t="s">
        <v>370</v>
      </c>
    </row>
    <row r="15" ht="18.0" customHeight="1">
      <c r="A15" s="246" t="s">
        <v>371</v>
      </c>
      <c r="B15" s="247" t="s">
        <v>372</v>
      </c>
    </row>
    <row r="16">
      <c r="A16" s="246" t="s">
        <v>373</v>
      </c>
      <c r="B16" s="247" t="s">
        <v>336</v>
      </c>
    </row>
    <row r="17">
      <c r="A17" s="246" t="s">
        <v>374</v>
      </c>
      <c r="B17" s="247" t="s">
        <v>375</v>
      </c>
    </row>
    <row r="18">
      <c r="A18" s="246" t="s">
        <v>376</v>
      </c>
      <c r="B18" s="247" t="s">
        <v>338</v>
      </c>
    </row>
    <row r="19">
      <c r="A19" s="246" t="s">
        <v>377</v>
      </c>
      <c r="B19" s="247" t="s">
        <v>346</v>
      </c>
    </row>
    <row r="20">
      <c r="A20" s="246" t="s">
        <v>378</v>
      </c>
      <c r="B20" s="247" t="s">
        <v>347</v>
      </c>
    </row>
    <row r="21">
      <c r="A21" s="246" t="s">
        <v>379</v>
      </c>
      <c r="B21" s="234"/>
    </row>
    <row r="22">
      <c r="A22" s="246" t="s">
        <v>380</v>
      </c>
      <c r="B22" s="234"/>
    </row>
    <row r="23">
      <c r="A23" s="246" t="s">
        <v>381</v>
      </c>
      <c r="B23" s="234"/>
    </row>
    <row r="24">
      <c r="A24" s="246" t="s">
        <v>382</v>
      </c>
      <c r="B24" s="234"/>
    </row>
    <row r="25">
      <c r="A25" s="246" t="s">
        <v>383</v>
      </c>
      <c r="B25" s="234"/>
    </row>
    <row r="26">
      <c r="A26" s="246" t="s">
        <v>384</v>
      </c>
      <c r="B26" s="234"/>
    </row>
    <row r="27">
      <c r="A27" s="246" t="s">
        <v>385</v>
      </c>
      <c r="B27" s="234"/>
    </row>
    <row r="28">
      <c r="A28" s="246" t="s">
        <v>386</v>
      </c>
      <c r="B28" s="234"/>
    </row>
    <row r="29">
      <c r="A29" s="246" t="s">
        <v>387</v>
      </c>
      <c r="B29" s="234"/>
    </row>
    <row r="30">
      <c r="A30" s="246" t="s">
        <v>388</v>
      </c>
      <c r="B30" s="234"/>
    </row>
  </sheetData>
  <mergeCells count="28">
    <mergeCell ref="A1:K1"/>
    <mergeCell ref="A2:K2"/>
    <mergeCell ref="A3:K3"/>
    <mergeCell ref="F4:K7"/>
    <mergeCell ref="A7:E7"/>
    <mergeCell ref="A8:K8"/>
    <mergeCell ref="A9:K9"/>
    <mergeCell ref="B10:K10"/>
    <mergeCell ref="B11:K11"/>
    <mergeCell ref="B12:K12"/>
    <mergeCell ref="B13:K13"/>
    <mergeCell ref="B14:K14"/>
    <mergeCell ref="B15:K15"/>
    <mergeCell ref="B16:K16"/>
    <mergeCell ref="B24:K24"/>
    <mergeCell ref="B25:K25"/>
    <mergeCell ref="B26:K26"/>
    <mergeCell ref="B27:K27"/>
    <mergeCell ref="B28:K28"/>
    <mergeCell ref="B29:K29"/>
    <mergeCell ref="B30:K30"/>
    <mergeCell ref="B17:K17"/>
    <mergeCell ref="B18:K18"/>
    <mergeCell ref="B19:K19"/>
    <mergeCell ref="B20:K20"/>
    <mergeCell ref="B21:K21"/>
    <mergeCell ref="B22:K22"/>
    <mergeCell ref="B23:K23"/>
  </mergeCells>
  <printOptions gridLines="1" horizontalCentered="1"/>
  <pageMargins bottom="0.75" footer="0.0" header="0.0" left="0.7" right="0.7" top="0.75"/>
  <pageSetup fitToHeight="0" cellComments="atEnd" orientation="landscape" pageOrder="overThenDown"/>
  <drawing r:id="rId1"/>
</worksheet>
</file>